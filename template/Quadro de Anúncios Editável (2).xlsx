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9JO\Downloads\"/>
    </mc:Choice>
  </mc:AlternateContent>
  <xr:revisionPtr revIDLastSave="0" documentId="13_ncr:1_{1DDD3932-CADA-47CB-807B-661D21E35071}" xr6:coauthVersionLast="47" xr6:coauthVersionMax="47" xr10:uidLastSave="{00000000-0000-0000-0000-000000000000}"/>
  <bookViews>
    <workbookView xWindow="-110" yWindow="-110" windowWidth="19420" windowHeight="10300" tabRatio="903" firstSheet="2" activeTab="5" xr2:uid="{CF44BD2A-4FC3-4FDD-B1AB-7D27453CAE92}"/>
  </bookViews>
  <sheets>
    <sheet name="Designações ()" sheetId="6" state="hidden" r:id="rId1"/>
    <sheet name="Designações FDS ()" sheetId="3" state="hidden" r:id="rId2"/>
    <sheet name="Aprovados pelo corpo" sheetId="11" r:id="rId3"/>
    <sheet name="Designações RVM" sheetId="19" r:id="rId4"/>
    <sheet name="Designações Mecânicas" sheetId="10" r:id="rId5"/>
    <sheet name="Abertura Limpeza Campo" sheetId="14" r:id="rId6"/>
    <sheet name="Aprovados 2024" sheetId="17" state="hidden" r:id="rId7"/>
    <sheet name="Designações FDS" sheetId="9" state="hidden" r:id="rId8"/>
    <sheet name="Grupos" sheetId="2" state="hidden" r:id="rId9"/>
    <sheet name="Limpeza" sheetId="4" state="hidden" r:id="rId10"/>
    <sheet name="Saídas Campo" sheetId="5" r:id="rId11"/>
    <sheet name="Planilha1" sheetId="16" state="hidden" r:id="rId12"/>
    <sheet name="Grupos (2)" sheetId="12" state="hidden" r:id="rId13"/>
    <sheet name="APROVADOS" sheetId="7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4" l="1"/>
  <c r="Q36" i="17" l="1"/>
  <c r="Q35" i="17"/>
  <c r="Q34" i="17"/>
  <c r="Q33" i="17"/>
  <c r="Q32" i="17"/>
  <c r="Q31" i="17"/>
  <c r="Q30" i="17"/>
  <c r="Q29" i="17"/>
  <c r="Q28" i="17"/>
  <c r="Q27" i="17"/>
  <c r="Q26" i="17"/>
  <c r="Q25" i="17"/>
  <c r="Q24" i="17"/>
  <c r="Q23" i="17"/>
  <c r="Q22" i="17"/>
  <c r="Q21" i="17"/>
  <c r="Q20" i="17"/>
  <c r="Q19" i="17"/>
  <c r="Q18" i="17"/>
  <c r="Q17" i="17"/>
  <c r="Q16" i="17"/>
  <c r="Q15" i="17"/>
  <c r="Q14" i="17"/>
  <c r="Q13" i="17"/>
  <c r="Q12" i="17"/>
  <c r="Q11" i="17"/>
  <c r="Q10" i="17"/>
  <c r="Q9" i="17"/>
  <c r="Q8" i="17"/>
  <c r="Q7" i="17"/>
  <c r="Q6" i="17"/>
  <c r="Q5" i="17"/>
  <c r="Q4" i="17"/>
  <c r="H7" i="16"/>
  <c r="G6" i="16"/>
  <c r="H6" i="16"/>
  <c r="F5" i="16"/>
  <c r="G5" i="16"/>
  <c r="H5" i="16"/>
  <c r="E4" i="16"/>
  <c r="F4" i="16"/>
  <c r="G4" i="16"/>
  <c r="H4" i="16"/>
  <c r="D3" i="16"/>
  <c r="E3" i="16"/>
  <c r="F3" i="16"/>
  <c r="G3" i="16"/>
  <c r="H3" i="16"/>
  <c r="D2" i="16"/>
  <c r="E2" i="16"/>
  <c r="F2" i="16"/>
  <c r="G2" i="16"/>
  <c r="H2" i="16"/>
  <c r="C2" i="16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K14" i="10"/>
  <c r="K15" i="10"/>
  <c r="K16" i="10"/>
  <c r="K17" i="10"/>
  <c r="K18" i="10"/>
  <c r="K19" i="10"/>
  <c r="K20" i="10"/>
  <c r="K21" i="10"/>
  <c r="K22" i="10"/>
  <c r="K23" i="10"/>
  <c r="J14" i="10"/>
  <c r="J15" i="10"/>
  <c r="J16" i="10"/>
  <c r="J17" i="10"/>
  <c r="J18" i="10"/>
  <c r="J19" i="10"/>
  <c r="J20" i="10"/>
  <c r="J21" i="10"/>
  <c r="J22" i="10"/>
  <c r="J23" i="10"/>
  <c r="AE4" i="6"/>
  <c r="L6" i="6" l="1"/>
  <c r="L8" i="6"/>
  <c r="L10" i="6"/>
  <c r="L12" i="6"/>
  <c r="L14" i="6"/>
  <c r="L16" i="6"/>
  <c r="L18" i="6"/>
  <c r="L20" i="6"/>
  <c r="L22" i="6"/>
  <c r="L24" i="6"/>
  <c r="L26" i="6"/>
  <c r="L28" i="6"/>
  <c r="L30" i="6"/>
  <c r="K6" i="6"/>
  <c r="K8" i="6"/>
  <c r="K10" i="6"/>
  <c r="K12" i="6"/>
  <c r="K14" i="6"/>
  <c r="K16" i="6"/>
  <c r="K18" i="6"/>
  <c r="K20" i="6"/>
  <c r="K22" i="6"/>
  <c r="K24" i="6"/>
  <c r="K26" i="6"/>
  <c r="K28" i="6"/>
  <c r="K30" i="6"/>
  <c r="L4" i="6"/>
  <c r="K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</calcChain>
</file>

<file path=xl/sharedStrings.xml><?xml version="1.0" encoding="utf-8"?>
<sst xmlns="http://schemas.openxmlformats.org/spreadsheetml/2006/main" count="1531" uniqueCount="558">
  <si>
    <t>DATA</t>
  </si>
  <si>
    <t>PALCO</t>
  </si>
  <si>
    <t>MIDIA</t>
  </si>
  <si>
    <t>INDICADOR</t>
  </si>
  <si>
    <t>MICROFONE</t>
  </si>
  <si>
    <t>PETRÚCIO</t>
  </si>
  <si>
    <t>JHOSEF</t>
  </si>
  <si>
    <t>MAURICIO</t>
  </si>
  <si>
    <t>MOSES</t>
  </si>
  <si>
    <t>BRUNO REIS</t>
  </si>
  <si>
    <t>ISRAEL F.</t>
  </si>
  <si>
    <t>GASPAR</t>
  </si>
  <si>
    <t>INDICADORES</t>
  </si>
  <si>
    <t>ANFITRIÕES</t>
  </si>
  <si>
    <t>INÁCIO</t>
  </si>
  <si>
    <t>DENILSON</t>
  </si>
  <si>
    <t>TÉRCIO</t>
  </si>
  <si>
    <t>EDVALDO</t>
  </si>
  <si>
    <t>LEONEL</t>
  </si>
  <si>
    <t>JACKSON</t>
  </si>
  <si>
    <t>FRED PACHECO</t>
  </si>
  <si>
    <t>JOÃO CARLOS</t>
  </si>
  <si>
    <t>MOISÉS</t>
  </si>
  <si>
    <t xml:space="preserve">DAVID </t>
  </si>
  <si>
    <t>DANIEL</t>
  </si>
  <si>
    <t>PRESIDENTE</t>
  </si>
  <si>
    <t>LEITOR</t>
  </si>
  <si>
    <t>FABIANO</t>
  </si>
  <si>
    <t>TEMA</t>
  </si>
  <si>
    <t>LEITOR DE 
"A SENTINELA"</t>
  </si>
  <si>
    <t>João Carlos</t>
  </si>
  <si>
    <t>Leonel Mangabeiras</t>
  </si>
  <si>
    <t>Moisés Caetano</t>
  </si>
  <si>
    <t>Fabiano Correia</t>
  </si>
  <si>
    <t>Fred Pacheco</t>
  </si>
  <si>
    <t>Grupo 1 - Salão do Reino</t>
  </si>
  <si>
    <t>Av. Brasil, 98, Poço</t>
  </si>
  <si>
    <t>Rua Castro Alves, 282, Poço</t>
  </si>
  <si>
    <t>Grupo 3 - Waldines</t>
  </si>
  <si>
    <t>Rua Santa Sofia, 146, Ponta da Terra</t>
  </si>
  <si>
    <t>Grupo 4 - Petrúcio</t>
  </si>
  <si>
    <t>R. Lafaiete Pacheco, 3572, Ponta da Terra</t>
  </si>
  <si>
    <t>Grupo 5 - Farol</t>
  </si>
  <si>
    <t>Av. Gov. Afrânio Lages, 149, Farol</t>
  </si>
  <si>
    <t>Grupo 6 - Carminha</t>
  </si>
  <si>
    <t>Rua José Correia Filho, 771, Poço</t>
  </si>
  <si>
    <t>Adriana de Melo Santiago (PNB)</t>
  </si>
  <si>
    <t>Aldalice Conceição Ramos</t>
  </si>
  <si>
    <t>Cristiano Marques Binas</t>
  </si>
  <si>
    <t>Edinete Lima de Oliveira</t>
  </si>
  <si>
    <t>Georgetown da Silva</t>
  </si>
  <si>
    <t>Mary Celi Santos Oliveira</t>
  </si>
  <si>
    <t>Tereza Cristina Gomes</t>
  </si>
  <si>
    <t>Wellen Albuquerque da Paz</t>
  </si>
  <si>
    <t>Antonieta Nobre dos Santos</t>
  </si>
  <si>
    <t>Eurides Freitas Merquiades</t>
  </si>
  <si>
    <t>Gedalva Nobre dos Santos</t>
  </si>
  <si>
    <t>Jamerson Daniel</t>
  </si>
  <si>
    <t>Jeine Walkíria Almeida</t>
  </si>
  <si>
    <t>José Ailton Santana Alves</t>
  </si>
  <si>
    <t>Juraci de Souza Silva</t>
  </si>
  <si>
    <t>Lúcio Bezerra de Almeida</t>
  </si>
  <si>
    <t>Maria de Lourdes de Oliveira Amaral</t>
  </si>
  <si>
    <t>Maria Quitéria da Silva Alves</t>
  </si>
  <si>
    <t>Alan Guilherme Barbosa (PNB)</t>
  </si>
  <si>
    <t>Cleonice Francelino Martins</t>
  </si>
  <si>
    <t>Denes Pereira dos Santos</t>
  </si>
  <si>
    <t>Denilson Reis</t>
  </si>
  <si>
    <t>Francisco José Martins Almeida</t>
  </si>
  <si>
    <t>Gaspar Bello</t>
  </si>
  <si>
    <t>Giovanna Dias da Silva (PNB)</t>
  </si>
  <si>
    <t>Jaqueline Bezerra</t>
  </si>
  <si>
    <t>Maria Conceição dos Santos</t>
  </si>
  <si>
    <t>Maria das Dores</t>
  </si>
  <si>
    <t>Marilucia Silva de Deus</t>
  </si>
  <si>
    <t>Maurício Bello</t>
  </si>
  <si>
    <t>Patrícia Bello</t>
  </si>
  <si>
    <t>Sophia Dias da Silva (PNB)</t>
  </si>
  <si>
    <t>Waldines José de Lima</t>
  </si>
  <si>
    <t>Bruno Reis</t>
  </si>
  <si>
    <t>Eriene da Silva Santos</t>
  </si>
  <si>
    <t>Fabrício Félix</t>
  </si>
  <si>
    <t>Israel Félix</t>
  </si>
  <si>
    <t>Joana D'arc da Silva</t>
  </si>
  <si>
    <t>João Júlio Mendes de Barros</t>
  </si>
  <si>
    <t>José Petrúcio da Anunciação</t>
  </si>
  <si>
    <t>Lucidalva Leitão da Anunciação</t>
  </si>
  <si>
    <t>Marlene Félix</t>
  </si>
  <si>
    <t>Renata de Oliveira Couto</t>
  </si>
  <si>
    <t>Adão Pereira</t>
  </si>
  <si>
    <t>Anny Beatriz Machado Lopes</t>
  </si>
  <si>
    <t>Eliane Lessa Martins</t>
  </si>
  <si>
    <t>Jair Marques</t>
  </si>
  <si>
    <t>Laura Santana Marques</t>
  </si>
  <si>
    <t>Paulo Campos</t>
  </si>
  <si>
    <t>Almir Fernandes da Cruz</t>
  </si>
  <si>
    <t>Inácio Manoel da Silva Filho</t>
  </si>
  <si>
    <t>José Marcos Lira</t>
  </si>
  <si>
    <t>Juliana Lopes Fernandes</t>
  </si>
  <si>
    <t>Marli Santos de Almeida</t>
  </si>
  <si>
    <t>Maura Mangabeiras de Araújo</t>
  </si>
  <si>
    <t>Paulina da Silva Lopes</t>
  </si>
  <si>
    <t>Josilene do Nascimento (Rosa)</t>
  </si>
  <si>
    <t>REUNIÃO FINAL DE SEM.</t>
  </si>
  <si>
    <t>REUNIÕES</t>
  </si>
  <si>
    <t>Petrúcio</t>
  </si>
  <si>
    <t>Oliveiros</t>
  </si>
  <si>
    <t>Carminha</t>
  </si>
  <si>
    <t>Farol</t>
  </si>
  <si>
    <t>Salão do Reino</t>
  </si>
  <si>
    <t xml:space="preserve">01 e 05 / 10 </t>
  </si>
  <si>
    <t>08 e 12 / 10</t>
  </si>
  <si>
    <t>15 e 19 / 10</t>
  </si>
  <si>
    <t>22 e 26 / 10</t>
  </si>
  <si>
    <t>ORADOR / CONGREGAÇÃO</t>
  </si>
  <si>
    <t>MANHÃ</t>
  </si>
  <si>
    <t>TARDE</t>
  </si>
  <si>
    <t>NOITE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</si>
  <si>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</si>
  <si>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</si>
  <si>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</si>
  <si>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</si>
  <si>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</si>
  <si>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</si>
  <si>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</si>
  <si>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Não há consideração para o serviço de campo.</t>
  </si>
  <si>
    <t>Todos os Grupos</t>
  </si>
  <si>
    <r>
      <rPr>
        <b/>
        <sz val="11"/>
        <color theme="1"/>
        <rFont val="Calibri"/>
        <family val="2"/>
        <scheme val="minor"/>
      </rPr>
      <t xml:space="preserve">Horário: </t>
    </r>
    <r>
      <rPr>
        <sz val="11"/>
        <color theme="1"/>
        <rFont val="Calibri"/>
        <family val="2"/>
        <scheme val="minor"/>
      </rPr>
      <t>19:00</t>
    </r>
  </si>
  <si>
    <r>
      <rPr>
        <b/>
        <sz val="11"/>
        <color theme="1"/>
        <rFont val="Calibri"/>
        <family val="2"/>
        <scheme val="minor"/>
      </rPr>
      <t>Saída:</t>
    </r>
    <r>
      <rPr>
        <sz val="11"/>
        <color theme="1"/>
        <rFont val="Calibri"/>
        <family val="2"/>
        <scheme val="minor"/>
      </rPr>
      <t xml:space="preserve"> Salão do Reino</t>
    </r>
  </si>
  <si>
    <t>LEITORES</t>
  </si>
  <si>
    <t>PRESIDENTES</t>
  </si>
  <si>
    <t>VÍTOR HUGO</t>
  </si>
  <si>
    <t xml:space="preserve">AILTON </t>
  </si>
  <si>
    <t>DENIS</t>
  </si>
  <si>
    <t>VITOR MEDEIROS</t>
  </si>
  <si>
    <t>FABRÍCIO</t>
  </si>
  <si>
    <t>LEONILDO</t>
  </si>
  <si>
    <t>ADÃO</t>
  </si>
  <si>
    <t>EDUARDO</t>
  </si>
  <si>
    <t>LÚCIO</t>
  </si>
  <si>
    <t>WALDINES</t>
  </si>
  <si>
    <t>GEORGETOWN</t>
  </si>
  <si>
    <t>OLIVEIROS</t>
  </si>
  <si>
    <t>ALMIR</t>
  </si>
  <si>
    <t>MAURÍCIO</t>
  </si>
  <si>
    <t>JEAN LUCAS</t>
  </si>
  <si>
    <t>MIC. VOL.</t>
  </si>
  <si>
    <t>ANFITRIÃO 
(ZOOM)</t>
  </si>
  <si>
    <t xml:space="preserve">01 / 10 </t>
  </si>
  <si>
    <t xml:space="preserve">08 / 10 </t>
  </si>
  <si>
    <t xml:space="preserve">15 / 10 </t>
  </si>
  <si>
    <t xml:space="preserve">22 / 10 </t>
  </si>
  <si>
    <t xml:space="preserve">29 / 10 </t>
  </si>
  <si>
    <t xml:space="preserve">05 / 11 </t>
  </si>
  <si>
    <t xml:space="preserve">12 / 11 </t>
  </si>
  <si>
    <t xml:space="preserve">19 / 11 </t>
  </si>
  <si>
    <t xml:space="preserve">26 / 11 </t>
  </si>
  <si>
    <t xml:space="preserve">03 / 12 </t>
  </si>
  <si>
    <t xml:space="preserve">10 / 12 </t>
  </si>
  <si>
    <t xml:space="preserve">17 / 12 </t>
  </si>
  <si>
    <t xml:space="preserve">24 / 12 </t>
  </si>
  <si>
    <t xml:space="preserve">31 / 12 </t>
  </si>
  <si>
    <t>Jean Lucas</t>
  </si>
  <si>
    <t>Vitor Medeiros</t>
  </si>
  <si>
    <t xml:space="preserve">José Ailton </t>
  </si>
  <si>
    <t>Denis Pereira</t>
  </si>
  <si>
    <t>José Jhosef</t>
  </si>
  <si>
    <t>Leonildo Jr.</t>
  </si>
  <si>
    <t>Tércio Almeida</t>
  </si>
  <si>
    <t>Lúcio Almeida</t>
  </si>
  <si>
    <t>Eduardo Cato</t>
  </si>
  <si>
    <t>Waldines Lima</t>
  </si>
  <si>
    <t>Georgetown Silva</t>
  </si>
  <si>
    <t>Oliveiros Almeida</t>
  </si>
  <si>
    <t>Almir Fernandes</t>
  </si>
  <si>
    <t>Vítor Hugo</t>
  </si>
  <si>
    <t>05 / 10</t>
  </si>
  <si>
    <t xml:space="preserve">12 / 10 </t>
  </si>
  <si>
    <t xml:space="preserve">19 / 10 </t>
  </si>
  <si>
    <t xml:space="preserve">26 / 10 </t>
  </si>
  <si>
    <t xml:space="preserve">02 / 11 </t>
  </si>
  <si>
    <t xml:space="preserve">09 / 11 </t>
  </si>
  <si>
    <t xml:space="preserve">16 / 11 </t>
  </si>
  <si>
    <t xml:space="preserve">23 / 11 </t>
  </si>
  <si>
    <t xml:space="preserve">30 / 11 </t>
  </si>
  <si>
    <t xml:space="preserve">07 / 12 </t>
  </si>
  <si>
    <t xml:space="preserve">14 / 12 </t>
  </si>
  <si>
    <t xml:space="preserve">21 / 12 </t>
  </si>
  <si>
    <t xml:space="preserve">28 / 12 </t>
  </si>
  <si>
    <t xml:space="preserve">DANIEL </t>
  </si>
  <si>
    <t xml:space="preserve">DESIGNAÇÕES MECÂNICAS </t>
  </si>
  <si>
    <t>PEDRO</t>
  </si>
  <si>
    <t xml:space="preserve">JOSÉ AILTON </t>
  </si>
  <si>
    <t>DENIS PEREIRA</t>
  </si>
  <si>
    <t>FABIANO CORREIA</t>
  </si>
  <si>
    <t>FABRÍCIO FÉLIX</t>
  </si>
  <si>
    <t>LÚCIO ALMEIDA</t>
  </si>
  <si>
    <t>WALDINES LIMA</t>
  </si>
  <si>
    <t>MAURÍCIO BELLO</t>
  </si>
  <si>
    <t>JOÃO CAVALCANTE</t>
  </si>
  <si>
    <t>ALMIR FERNANDES</t>
  </si>
  <si>
    <t>OLIVEIROS ALMEIDA</t>
  </si>
  <si>
    <t>LEONILDO JR.</t>
  </si>
  <si>
    <t>LEONEL MANGAB.</t>
  </si>
  <si>
    <t>JHOSEF SILVA</t>
  </si>
  <si>
    <t>INÁCIO SILVA</t>
  </si>
  <si>
    <t>MOISÉS CAETANO</t>
  </si>
  <si>
    <t>TÉRCIO ALMEIDA</t>
  </si>
  <si>
    <t>DENILSON REIS</t>
  </si>
  <si>
    <t>ISRAEL FÉLIX</t>
  </si>
  <si>
    <t>EDVALDO MARTINS</t>
  </si>
  <si>
    <t>JACKSON ARAÚJO</t>
  </si>
  <si>
    <t>GASPAR BELLO</t>
  </si>
  <si>
    <t>DAVID ALVES</t>
  </si>
  <si>
    <t>Grupo 2 - Oliveiros</t>
  </si>
  <si>
    <t>29/10 e 02/11</t>
  </si>
  <si>
    <t>05 e 09 / 11</t>
  </si>
  <si>
    <t>12 e 16 / 11</t>
  </si>
  <si>
    <t>19 e 23 / 11</t>
  </si>
  <si>
    <t>26 e 30 / 11</t>
  </si>
  <si>
    <t>31/12 e 03/01</t>
  </si>
  <si>
    <t>Farol - Salão do Reino</t>
  </si>
  <si>
    <t>Reginaldo - Jaraguá</t>
  </si>
  <si>
    <t>Waldines - Petrúcio</t>
  </si>
  <si>
    <t>Oliveiros - Carminha</t>
  </si>
  <si>
    <t>PAULO CAMPOS</t>
  </si>
  <si>
    <t>06 e 10 / 01</t>
  </si>
  <si>
    <t>13 e 17 / 01</t>
  </si>
  <si>
    <t>20 e 24 / 01</t>
  </si>
  <si>
    <t>27 e 31 / 01</t>
  </si>
  <si>
    <t>ARNALDO</t>
  </si>
  <si>
    <t>ALAN</t>
  </si>
  <si>
    <t xml:space="preserve">SG: Arnaldo (82)99993-5036 </t>
  </si>
  <si>
    <t>SG: Lúcio (82)99905-7618</t>
  </si>
  <si>
    <t>SG: Maurício (82)98219-5763</t>
  </si>
  <si>
    <t>SG: Fabiano (82)99823-4623</t>
  </si>
  <si>
    <t xml:space="preserve">Agrícia Mendes dos Santos </t>
  </si>
  <si>
    <t>Alan Viana</t>
  </si>
  <si>
    <t xml:space="preserve">Elisabete Bezerra Almeida </t>
  </si>
  <si>
    <t xml:space="preserve">Alane Kelle Barbosa da Silva </t>
  </si>
  <si>
    <t>Cícero Bezerra</t>
  </si>
  <si>
    <t>Arnaldo Gomes</t>
  </si>
  <si>
    <t xml:space="preserve">Fabrício Félix </t>
  </si>
  <si>
    <t xml:space="preserve">Claudiceia Pereira </t>
  </si>
  <si>
    <t xml:space="preserve">Ivilis Santos Silvestre </t>
  </si>
  <si>
    <t>Dirceu Antunes</t>
  </si>
  <si>
    <t xml:space="preserve">Janaina da Silva </t>
  </si>
  <si>
    <t xml:space="preserve">Genilda Francelino M. S. Almeida </t>
  </si>
  <si>
    <t>Emmily Morais</t>
  </si>
  <si>
    <t xml:space="preserve">Maria Luiza de Almeida </t>
  </si>
  <si>
    <t xml:space="preserve">Maria Clara Barbosa de Lima  </t>
  </si>
  <si>
    <t>Georgetown Filho (Georginho)</t>
  </si>
  <si>
    <t xml:space="preserve">Oliveiros da Silva Almeida </t>
  </si>
  <si>
    <t xml:space="preserve">Lorena Mendes Santos </t>
  </si>
  <si>
    <t>Karla Pordeus de Oliveira</t>
  </si>
  <si>
    <t xml:space="preserve">Roberta de Paula Almeida </t>
  </si>
  <si>
    <t xml:space="preserve">Maria Aucileide Binas </t>
  </si>
  <si>
    <t>Tércio Bezerra Almeida</t>
  </si>
  <si>
    <t xml:space="preserve">Luiz Fabiano Correa </t>
  </si>
  <si>
    <t xml:space="preserve">Marlene Raquel da Silva </t>
  </si>
  <si>
    <t xml:space="preserve">Melissa Andressa Correa  </t>
  </si>
  <si>
    <t xml:space="preserve">Marta Maria Silva </t>
  </si>
  <si>
    <t xml:space="preserve">Naide Maria da Silva </t>
  </si>
  <si>
    <t>Solange Azevedo</t>
  </si>
  <si>
    <t>Mauricio Bello</t>
  </si>
  <si>
    <t xml:space="preserve">Sandra Reis </t>
  </si>
  <si>
    <t xml:space="preserve">Shirley de Amorim Guedes </t>
  </si>
  <si>
    <t xml:space="preserve">Wilma Monteiro </t>
  </si>
  <si>
    <t>Grupo 7 - Reginaldo</t>
  </si>
  <si>
    <t>Grupo 8 - Jaraguá</t>
  </si>
  <si>
    <t>Rua  Diegues Junior Nº 10, Reginaldo, Poço</t>
  </si>
  <si>
    <t>Rua Santa Ana, 100 Poço</t>
  </si>
  <si>
    <t>SG: Leonildo (82)99644-2457</t>
  </si>
  <si>
    <t>SG: Almir (82)98190-1322</t>
  </si>
  <si>
    <t>SG: Ailton (82)99411-0742</t>
  </si>
  <si>
    <t>SG: Pedro (82)98112-1130</t>
  </si>
  <si>
    <t>Ana Julia Caetano</t>
  </si>
  <si>
    <t>Angeli Carvalho</t>
  </si>
  <si>
    <t xml:space="preserve">Andréa de Carvalho </t>
  </si>
  <si>
    <t xml:space="preserve">Carlos Vitor Medeiros  </t>
  </si>
  <si>
    <t xml:space="preserve">David  Martins Alves </t>
  </si>
  <si>
    <t>Arthur Gabriel</t>
  </si>
  <si>
    <t>João Carlos Martins</t>
  </si>
  <si>
    <t xml:space="preserve">Edvaldo Francelino Martins </t>
  </si>
  <si>
    <t>Elaine Lessa Silva</t>
  </si>
  <si>
    <t xml:space="preserve">Leilany Medeiros </t>
  </si>
  <si>
    <t xml:space="preserve">Gleibe Santana Marques </t>
  </si>
  <si>
    <t xml:space="preserve">Leonel Mangabeira </t>
  </si>
  <si>
    <t xml:space="preserve">Maria Claudia Almeida  </t>
  </si>
  <si>
    <t>Jackson Araujo do Nascimento</t>
  </si>
  <si>
    <t>José Cristian Joseph</t>
  </si>
  <si>
    <t xml:space="preserve">Maria do Carmo Santos de Almeida </t>
  </si>
  <si>
    <t xml:space="preserve">Leonildo de Carvalho Jr </t>
  </si>
  <si>
    <t>Kleycianny Reis</t>
  </si>
  <si>
    <t xml:space="preserve">Maria Madalena Rocha Silva </t>
  </si>
  <si>
    <t>Maria José de Vasconcelos (Zeza)</t>
  </si>
  <si>
    <t>Miguel Levi</t>
  </si>
  <si>
    <t xml:space="preserve">Moisés Caetano </t>
  </si>
  <si>
    <t xml:space="preserve">Marta Eliane de Almeida </t>
  </si>
  <si>
    <t>Maria Sebastiana Bertoldo Araújo</t>
  </si>
  <si>
    <t>Pedro Oliveira</t>
  </si>
  <si>
    <t xml:space="preserve">Selma Santos de Almeida </t>
  </si>
  <si>
    <t>Rafaela Campos</t>
  </si>
  <si>
    <t>Thalia Omena</t>
  </si>
  <si>
    <t xml:space="preserve">Zarmânio Ferreira Cavalcante </t>
  </si>
  <si>
    <t>INDICADORES SEM MÍDIA</t>
  </si>
  <si>
    <t>ZARMÂNIO</t>
  </si>
  <si>
    <t>DIRCEU</t>
  </si>
  <si>
    <t>JAIR</t>
  </si>
  <si>
    <t>MARCOS LIRA</t>
  </si>
  <si>
    <t>Maria Rosimeire C. (Rosa - Edson)</t>
  </si>
  <si>
    <t>GRUPOS RESPONSÁVEIS</t>
  </si>
  <si>
    <t>Ajudante: Georgetown (82)99986-1118</t>
  </si>
  <si>
    <t>Isa Keylla Amaral</t>
  </si>
  <si>
    <t>Ajudante: Oliveiros (82)98863-9356,  Bruno (82)99612-4674 e Tércio (82)99921-3337</t>
  </si>
  <si>
    <t>Ajudante: João Carlos (82)9910-8662</t>
  </si>
  <si>
    <t xml:space="preserve">Ajudante:  Fabrício (82)99134-4845 e Denilson (82)98124-6801 </t>
  </si>
  <si>
    <t>Monique (PNB)</t>
  </si>
  <si>
    <t>Patrícia Vieira</t>
  </si>
  <si>
    <t>Andréa Maria Morais Gonçalves</t>
  </si>
  <si>
    <t>Christian Gomes Gonçalves</t>
  </si>
  <si>
    <t>Francisca Binas</t>
  </si>
  <si>
    <t>Thainá Anjo da Silva Farias</t>
  </si>
  <si>
    <t>Weynert Soares Penha</t>
  </si>
  <si>
    <t>Ajudante: Christian Gomes</t>
  </si>
  <si>
    <t>Ajudante:  Denes (82)99990-8419 e 
Joseph (82)98753-1100</t>
  </si>
  <si>
    <t>Ajudante: Vitor (82)99672-6097 e 
Leonel (82)98205-4908</t>
  </si>
  <si>
    <t>Ajudante: Moisés (98847-0722) e 
Zarmanio (82)99316-3518</t>
  </si>
  <si>
    <t>Rua Santa Sofia, 146, P. da Terra</t>
  </si>
  <si>
    <t>R. Lafaiete Pacheco, 3572, 
P. da Terra</t>
  </si>
  <si>
    <t>Rua  Diegues Junior Nº 10, 
Reginaldo, Poço</t>
  </si>
  <si>
    <t>Rua Santa Ana, 100, Poço</t>
  </si>
  <si>
    <t>Maria Aparecida de A. Guedes</t>
  </si>
  <si>
    <t xml:space="preserve">Maria do Carmo S. de Almeida </t>
  </si>
  <si>
    <t>Maria de Lourdes de O. Amaral</t>
  </si>
  <si>
    <t>Elangela Gomes Mendes</t>
  </si>
  <si>
    <t>Francisco Pereira da Silva</t>
  </si>
  <si>
    <t>04/05</t>
  </si>
  <si>
    <t>FRANCISCO</t>
  </si>
  <si>
    <t>11/05</t>
  </si>
  <si>
    <t>18/05</t>
  </si>
  <si>
    <t>25/05</t>
  </si>
  <si>
    <t>Richarlison Anjo de Lima</t>
  </si>
  <si>
    <t>Elangela</t>
  </si>
  <si>
    <t>Maria Aparecida de Amorim Guedes</t>
  </si>
  <si>
    <t xml:space="preserve">SG: Arnaldo (82)99993-5036 
Ajudante: Georgetown (82)99986-1118 </t>
  </si>
  <si>
    <t>SG: Maurício (82)98219-5763
Ajudante: João Carlos (82)99910-8662  e 
Israel (82)98846-0218</t>
  </si>
  <si>
    <t>SG: Fabiano (82)99823-4623
Ajudante:  Fabrício (82)99134-4845 e Denilson (82)98124-6801</t>
  </si>
  <si>
    <t>SG: Leonildo (82)99644-2457
Ajudante: Moisés (82)98847-0722 e Zarmanio (82)99316-3518</t>
  </si>
  <si>
    <t>SG: Almir (82)98190-1322
Ajudante: Carlos Vitor (82)99672-6097 e Leonel (82)98205-4908</t>
  </si>
  <si>
    <t>João Carlos Cavalcante</t>
  </si>
  <si>
    <t>Thalia Omena Cavalcante</t>
  </si>
  <si>
    <t>SG: Lúcio (82)99905-7618
Ajudante: Oliveiros (82)98863-9356, Bruno (82)99612-4674 e Tércio 
(82)99921-3337</t>
  </si>
  <si>
    <t xml:space="preserve">SG: Pedro (82)98112-1130
Ajudante:  Denes (82)99990-8419 e </t>
  </si>
  <si>
    <t>SG: Ailton (82)99411-0742
Ajudante: Joseph (82)98753-1100 e Jackson (82)99927-3560</t>
  </si>
  <si>
    <t>Francisco Pereira</t>
  </si>
  <si>
    <t>João José do Nascimento Filho</t>
  </si>
  <si>
    <t>Vânia Sandra Santos do Nascimento</t>
  </si>
  <si>
    <t xml:space="preserve">Deyvid  Martins Alves </t>
  </si>
  <si>
    <t>DEYVID ALVES</t>
  </si>
  <si>
    <t>Grupo 4 - Naide</t>
  </si>
  <si>
    <t>Vitória Nunes da Silva</t>
  </si>
  <si>
    <t>CRISTIANO BINAS</t>
  </si>
  <si>
    <t>REGINALDO - JARAGUÁ</t>
  </si>
  <si>
    <t>WALDINES - NAIDE</t>
  </si>
  <si>
    <t>MICROFONE VOLANTE</t>
  </si>
  <si>
    <t xml:space="preserve">GUILHERME </t>
  </si>
  <si>
    <t>MURILO</t>
  </si>
  <si>
    <t>RICHARLISON</t>
  </si>
  <si>
    <t>WEYNERT</t>
  </si>
  <si>
    <t>GEORGETOWN FH</t>
  </si>
  <si>
    <t>ARTHUR GABRIEL</t>
  </si>
  <si>
    <t>MIGUEL LEVI</t>
  </si>
  <si>
    <t>04/12 e 07/12</t>
  </si>
  <si>
    <t>11/12 e 14/12</t>
  </si>
  <si>
    <t>18/12 e 21/12</t>
  </si>
  <si>
    <t>25/12 e 28/12</t>
  </si>
  <si>
    <t>Rodrigo Araújo</t>
  </si>
  <si>
    <t>Murilo Lira</t>
  </si>
  <si>
    <t>Mariano Francelino</t>
  </si>
  <si>
    <t>GRUPO RESPONSÁVEL</t>
  </si>
  <si>
    <t>REGINALDO</t>
  </si>
  <si>
    <t>CARMINHA</t>
  </si>
  <si>
    <t>SALÃO DO REINO</t>
  </si>
  <si>
    <t>JARAGUÁ</t>
  </si>
  <si>
    <t>Limpeza</t>
  </si>
  <si>
    <t>Abertura do Salão do Reino</t>
  </si>
  <si>
    <t>Francisco  Pereira</t>
  </si>
  <si>
    <t xml:space="preserve">Richarlisson AnJo de Lima </t>
  </si>
  <si>
    <t xml:space="preserve">Weynert Soares Penha </t>
  </si>
  <si>
    <t>SALÃO DO REINO - OLIVEIROS</t>
  </si>
  <si>
    <t>CARMINHA - REGINALDO</t>
  </si>
  <si>
    <t>NAIDE</t>
  </si>
  <si>
    <t>JARAGUÁ - WALDINES</t>
  </si>
  <si>
    <t>NAIDE - SALÃO DO REINO</t>
  </si>
  <si>
    <t>OLIVEIROS - CARMINHA</t>
  </si>
  <si>
    <t>SALÃO DO REINO -</t>
  </si>
  <si>
    <t>REGINALDO - WALDINES</t>
  </si>
  <si>
    <t>JARAGUÁ - NAIDE</t>
  </si>
  <si>
    <t>SALÃO DO REINO - CARMINHA</t>
  </si>
  <si>
    <t>OLIVEIROS - REGINALDO</t>
  </si>
  <si>
    <t>WALDINES - CARMINHA</t>
  </si>
  <si>
    <t>NAIDE - OLIVEIROS</t>
  </si>
  <si>
    <t>SALÃO DO REINO - JARAGUÁ</t>
  </si>
  <si>
    <t>REGINALDO - NAIDE</t>
  </si>
  <si>
    <t>JARAGUÁ - OLIVEIROS</t>
  </si>
  <si>
    <t>WALDINES - SALÃO DO REINO</t>
  </si>
  <si>
    <t>NAIDE - CARMINHA</t>
  </si>
  <si>
    <t>REGINALDO - SALÃO DO REINO</t>
  </si>
  <si>
    <t>JARAGUÁ - CARMINHA</t>
  </si>
  <si>
    <t>WALDINES - OLIVEIROS</t>
  </si>
  <si>
    <t>Consideração de campo aos sábados no Salão às 8h45:</t>
  </si>
  <si>
    <t>01/05 e 04/05</t>
  </si>
  <si>
    <t>08/05 e 11/05</t>
  </si>
  <si>
    <t>15/05 e 18/05</t>
  </si>
  <si>
    <t>29/05 e 01/06</t>
  </si>
  <si>
    <t>05/06 e 08/06</t>
  </si>
  <si>
    <t>12/06 e 15/06</t>
  </si>
  <si>
    <t>19/06 e 22/06</t>
  </si>
  <si>
    <t>26/06 e 29/06</t>
  </si>
  <si>
    <t>22/05 e 25/05</t>
  </si>
  <si>
    <t>MAIO</t>
  </si>
  <si>
    <t>JUNHO</t>
  </si>
  <si>
    <t>Cristiano Binas</t>
  </si>
  <si>
    <t>LEITORES W</t>
  </si>
  <si>
    <t>Rafael Diniz</t>
  </si>
  <si>
    <t>Alisson Pinho</t>
  </si>
  <si>
    <t>Arnaldo Simões</t>
  </si>
  <si>
    <t>Eduardo feitosa</t>
  </si>
  <si>
    <t>Eduardo Lira</t>
  </si>
  <si>
    <t>Felipe Alcântara</t>
  </si>
  <si>
    <t>Helton Lima</t>
  </si>
  <si>
    <t>Luciano da Silva</t>
  </si>
  <si>
    <t xml:space="preserve">Anderson </t>
  </si>
  <si>
    <t>Guilherme</t>
  </si>
  <si>
    <t>Kauã Silva</t>
  </si>
  <si>
    <t>Kleyton Silva</t>
  </si>
  <si>
    <t>Luiz Carneiro</t>
  </si>
  <si>
    <t>Maurício Macário</t>
  </si>
  <si>
    <t>Rodrigo Muniz</t>
  </si>
  <si>
    <t>Otávio Teixeira</t>
  </si>
  <si>
    <t>Philipe Lins</t>
  </si>
  <si>
    <t>Rafael Bezerra</t>
  </si>
  <si>
    <t>Rafael Borel</t>
  </si>
  <si>
    <t>Severino Gomes</t>
  </si>
  <si>
    <t>Magno Miranda</t>
  </si>
  <si>
    <t>Antônio</t>
  </si>
  <si>
    <t>Anderson</t>
  </si>
  <si>
    <t>Luíz Carneiro</t>
  </si>
  <si>
    <t>Pedro Feitosa</t>
  </si>
  <si>
    <t>Luciano Pereira</t>
  </si>
  <si>
    <t>Herculano Alves</t>
  </si>
  <si>
    <t>ÁUDIO/VÍDEO</t>
  </si>
  <si>
    <t>AMETISTA - CRISÓLITO</t>
  </si>
  <si>
    <t>JACINTO - PÉROLA</t>
  </si>
  <si>
    <r>
      <t xml:space="preserve">Horário: </t>
    </r>
    <r>
      <rPr>
        <sz val="11"/>
        <color theme="1"/>
        <rFont val="Calibri"/>
        <family val="2"/>
        <scheme val="minor"/>
      </rPr>
      <t>08:15</t>
    </r>
  </si>
  <si>
    <r>
      <t>Dirigente(s):</t>
    </r>
    <r>
      <rPr>
        <sz val="11"/>
        <color theme="1"/>
        <rFont val="Calibri"/>
        <family val="2"/>
        <scheme val="minor"/>
      </rPr>
      <t xml:space="preserve"> Adevaldo / Edvaldo</t>
    </r>
  </si>
  <si>
    <r>
      <rPr>
        <b/>
        <sz val="11"/>
        <color theme="1"/>
        <rFont val="Calibri"/>
        <family val="2"/>
        <scheme val="minor"/>
      </rPr>
      <t>Dirigente(s):</t>
    </r>
    <r>
      <rPr>
        <sz val="11"/>
        <color theme="1"/>
        <rFont val="Calibri"/>
        <family val="2"/>
        <scheme val="minor"/>
      </rPr>
      <t xml:space="preserve"> Magno / Arnaldo</t>
    </r>
  </si>
  <si>
    <r>
      <t xml:space="preserve">Dirigente(s): </t>
    </r>
    <r>
      <rPr>
        <sz val="11"/>
        <color theme="1"/>
        <rFont val="Calibri"/>
        <family val="2"/>
        <scheme val="minor"/>
      </rPr>
      <t>Edvaldo</t>
    </r>
  </si>
  <si>
    <r>
      <t xml:space="preserve">Dirigente(s): </t>
    </r>
    <r>
      <rPr>
        <sz val="11"/>
        <color theme="1"/>
        <rFont val="Calibri"/>
        <family val="2"/>
        <scheme val="minor"/>
      </rPr>
      <t>Edvaldo / Rafael Diniz</t>
    </r>
  </si>
  <si>
    <r>
      <t>Horário:</t>
    </r>
    <r>
      <rPr>
        <sz val="11"/>
        <color theme="1"/>
        <rFont val="Calibri"/>
        <family val="2"/>
        <scheme val="minor"/>
      </rPr>
      <t xml:space="preserve"> 08:15 - 17:00</t>
    </r>
  </si>
  <si>
    <r>
      <rPr>
        <b/>
        <sz val="11"/>
        <color theme="1"/>
        <rFont val="Calibri"/>
        <family val="2"/>
        <scheme val="minor"/>
      </rPr>
      <t>Saída:</t>
    </r>
    <r>
      <rPr>
        <sz val="11"/>
        <color theme="1"/>
        <rFont val="Calibri"/>
        <family val="2"/>
        <scheme val="minor"/>
      </rPr>
      <t xml:space="preserve"> Salão do Reino (Arranjo de cartas)</t>
    </r>
  </si>
  <si>
    <r>
      <rPr>
        <b/>
        <sz val="11"/>
        <color theme="1"/>
        <rFont val="Calibri"/>
        <family val="2"/>
        <scheme val="minor"/>
      </rPr>
      <t xml:space="preserve">Saída: </t>
    </r>
    <r>
      <rPr>
        <sz val="11"/>
        <color theme="1"/>
        <rFont val="Calibri"/>
        <family val="2"/>
        <scheme val="minor"/>
      </rPr>
      <t>Respectivos Grupos</t>
    </r>
  </si>
  <si>
    <r>
      <rPr>
        <b/>
        <sz val="11"/>
        <color theme="1"/>
        <rFont val="Calibri"/>
        <family val="2"/>
        <scheme val="minor"/>
      </rPr>
      <t>Horário:</t>
    </r>
    <r>
      <rPr>
        <sz val="11"/>
        <color theme="1"/>
        <rFont val="Calibri"/>
        <family val="2"/>
        <scheme val="minor"/>
      </rPr>
      <t xml:space="preserve"> 08:30</t>
    </r>
  </si>
  <si>
    <r>
      <rPr>
        <b/>
        <sz val="11"/>
        <color theme="1"/>
        <rFont val="Calibri"/>
        <family val="2"/>
        <scheme val="minor"/>
      </rPr>
      <t xml:space="preserve">Dirigente(s): </t>
    </r>
    <r>
      <rPr>
        <sz val="11"/>
        <color theme="1"/>
        <rFont val="Calibri"/>
        <family val="2"/>
        <scheme val="minor"/>
      </rPr>
      <t>SG's e Ajudantes</t>
    </r>
  </si>
  <si>
    <r>
      <t xml:space="preserve">Horário: </t>
    </r>
    <r>
      <rPr>
        <sz val="11"/>
        <color theme="1"/>
        <rFont val="Calibri"/>
        <family val="2"/>
        <scheme val="minor"/>
      </rPr>
      <t>08:30</t>
    </r>
  </si>
  <si>
    <r>
      <t xml:space="preserve">Dirigente(s): </t>
    </r>
    <r>
      <rPr>
        <sz val="11"/>
        <color theme="1"/>
        <rFont val="Calibri"/>
        <family val="2"/>
        <scheme val="minor"/>
      </rPr>
      <t>Escala de revezamento</t>
    </r>
  </si>
  <si>
    <r>
      <t xml:space="preserve">Horário: </t>
    </r>
    <r>
      <rPr>
        <sz val="11"/>
        <color theme="1"/>
        <rFont val="Calibri"/>
        <family val="2"/>
        <scheme val="minor"/>
      </rPr>
      <t>15:30</t>
    </r>
  </si>
  <si>
    <t>Guilherme Freitas</t>
  </si>
  <si>
    <t>Felipe Alcantara</t>
  </si>
  <si>
    <t>João Victor</t>
  </si>
  <si>
    <t>Jailson</t>
  </si>
  <si>
    <t>Eduardo Feitosa</t>
  </si>
  <si>
    <t>ESMERALDA - TOPÁZIO</t>
  </si>
  <si>
    <t>INDICADOR EXTERNO</t>
  </si>
  <si>
    <t>INDICADOR INTERNO</t>
  </si>
  <si>
    <r>
      <t xml:space="preserve">ORADOR
</t>
    </r>
    <r>
      <rPr>
        <b/>
        <sz val="9"/>
        <color theme="0"/>
        <rFont val="Calibri"/>
        <family val="2"/>
        <scheme val="minor"/>
      </rPr>
      <t>(CONGREGAÇÃO)</t>
    </r>
  </si>
  <si>
    <t>Eduardo Moraes</t>
  </si>
  <si>
    <t>John Carvalho</t>
  </si>
  <si>
    <t>George Nascimento</t>
  </si>
  <si>
    <t>Michel</t>
  </si>
  <si>
    <t>Luciano Silva</t>
  </si>
  <si>
    <t>Kauã Felix</t>
  </si>
  <si>
    <t>Luiz Braga</t>
  </si>
  <si>
    <t>O que significa "andar com Deus"?</t>
  </si>
  <si>
    <t>Josimar Júnior
(Candeias)</t>
  </si>
  <si>
    <t>Ajamos sabiamente num mundo insensato.</t>
  </si>
  <si>
    <t>John Carvalho
(Candeias)</t>
  </si>
  <si>
    <t>Adevaldo Morais</t>
  </si>
  <si>
    <t>Waldson Vilar</t>
  </si>
  <si>
    <t>Como a sabedoria de Deus nos ajuda.</t>
  </si>
  <si>
    <t>Rafael Borel
(Candeias)</t>
  </si>
  <si>
    <t xml:space="preserve">Ande com Deus e receba bênçãos para sempre. </t>
  </si>
  <si>
    <t>Eduardo Moraes
(Candeias)</t>
  </si>
  <si>
    <t>Programação da Reunião de Meio de Semana</t>
  </si>
  <si>
    <t>Leitura Semanal: Isaías 14-16</t>
  </si>
  <si>
    <t>Presidente:</t>
  </si>
  <si>
    <t>Ajudante:</t>
  </si>
  <si>
    <t>Jailson Ferreira</t>
  </si>
  <si>
    <t>Cântico 63</t>
  </si>
  <si>
    <t>Dirigente Sala B:</t>
  </si>
  <si>
    <t>Comentários iniciais (1 min)</t>
  </si>
  <si>
    <t>Oração inicial:</t>
  </si>
  <si>
    <t>TESOUROS DA PALAVRA DE DEUS</t>
  </si>
  <si>
    <t>•</t>
  </si>
  <si>
    <t>1. Os inimigos do povo de Deus serão punidos (10 min)</t>
  </si>
  <si>
    <t>2. Encontre Joias Espirituais (10 min)</t>
  </si>
  <si>
    <t>Eduardo Morais</t>
  </si>
  <si>
    <t>3. Leitura da Bíblia - Isaías 16:1-14 (4 min)</t>
  </si>
  <si>
    <t>Salão principal:</t>
  </si>
  <si>
    <t>Igor Simões</t>
  </si>
  <si>
    <t>Sala B:</t>
  </si>
  <si>
    <t>FAÇA SEU MELHOR NO MINISTÉRIO</t>
  </si>
  <si>
    <t>4. Iniciando conversas (3 min)</t>
  </si>
  <si>
    <t>Lamoniara Silva / Maria Luíza</t>
  </si>
  <si>
    <t>De casa em casa - Seja adaptável.</t>
  </si>
  <si>
    <t>Nicole Kidman / Gleice Vieira</t>
  </si>
  <si>
    <t>5. Cultivando o interesse (4 min)</t>
  </si>
  <si>
    <t>Testemunho público - Pense na pessoa interessada.</t>
  </si>
  <si>
    <t>Emile Miranda / Maria Batista</t>
  </si>
  <si>
    <t>6. Discurso (5 min)</t>
  </si>
  <si>
    <t>Tema: O que é profecia?</t>
  </si>
  <si>
    <t>Edvaldo Azevedo</t>
  </si>
  <si>
    <t>NOSSA VIDA CRISTÃ</t>
  </si>
  <si>
    <t>Cântico 2</t>
  </si>
  <si>
    <t>7. Necessidades locais (15 min)</t>
  </si>
  <si>
    <t>Josimar Júnior</t>
  </si>
  <si>
    <t>8. Estudo bíblico de congregação. (30 min)</t>
  </si>
  <si>
    <t>Dirigente/Leitor:</t>
  </si>
  <si>
    <t>George e Kleyton Félix</t>
  </si>
  <si>
    <t>Comentários finais. (3 min)</t>
  </si>
  <si>
    <t>Cântico 21</t>
  </si>
  <si>
    <t>Oração final:</t>
  </si>
  <si>
    <t>Guilherme Alves</t>
  </si>
  <si>
    <t>Salão Principal</t>
  </si>
  <si>
    <t>Como ter um namoro que resulte em uma boa decisão</t>
  </si>
  <si>
    <t>Encontre Joias Espirituais</t>
  </si>
  <si>
    <t>Leitura da Bíblia - Provérbios 20:1-15</t>
  </si>
  <si>
    <t>Breno Lins</t>
  </si>
  <si>
    <t>Iniciando conversas</t>
  </si>
  <si>
    <t>Karla Coutinho / Eduarda Moraes</t>
  </si>
  <si>
    <t>DE CASA EM CASA</t>
  </si>
  <si>
    <t>Cultivando o interesse</t>
  </si>
  <si>
    <t>Ítala Lira / Larissa Caetano</t>
  </si>
  <si>
    <t>TESTEMUNHO PÚBLICO</t>
  </si>
  <si>
    <t>Explicando suas crenças</t>
  </si>
  <si>
    <t>Tema: Será que os animais vão para o céu?</t>
  </si>
  <si>
    <t>Cântico 78</t>
  </si>
  <si>
    <t>Designado</t>
  </si>
  <si>
    <t>Incentive outros a experimentar nosso curso bíblico</t>
  </si>
  <si>
    <t>Realizações da Organização, junho</t>
  </si>
  <si>
    <t>Estudo bíblico de congregação</t>
  </si>
  <si>
    <t>Leitor</t>
  </si>
  <si>
    <t>Allisson Pinho</t>
  </si>
  <si>
    <t>Comentários finais</t>
  </si>
  <si>
    <t>Cântico 150</t>
  </si>
  <si>
    <t>Oração</t>
  </si>
  <si>
    <t>Eliz Muniz / Priscila 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</si>
</sst>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b/>
      <sz val="12"/>
      <color theme="0"/>
      <name val="Calibri"/>
      <family val="2"/>
      <scheme val="minor"/>
    </font>
    <font>
      <b/>
      <sz val="8"/>
      <color theme="0"/>
      <name val="Calibri Light"/>
      <family val="2"/>
      <scheme val="maj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Aptos Light"/>
      <family val="2"/>
    </font>
    <font>
      <sz val="10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3" tint="-0.249977111117893"/>
      <name val="Copperplate Gothic Bold"/>
      <family val="2"/>
    </font>
    <font>
      <b/>
      <sz val="10"/>
      <color theme="2" tint="-0.499984740745262"/>
      <name val="Calibri"/>
      <family val="2"/>
      <scheme val="minor"/>
    </font>
    <font>
      <b/>
      <sz val="11"/>
      <color rgb="FF457277"/>
      <name val="Aptos Narrow"/>
      <family val="2"/>
    </font>
    <font>
      <b/>
      <sz val="11"/>
      <color theme="7" tint="-0.249977111117893"/>
      <name val="Aptos Narrow"/>
      <family val="2"/>
    </font>
    <font>
      <b/>
      <sz val="11"/>
      <color rgb="FFC00000"/>
      <name val="Aptos Narrow"/>
      <family val="2"/>
    </font>
    <font>
      <b/>
      <sz val="10"/>
      <color theme="2" tint="-0.499984740745262"/>
      <name val="Arial"/>
      <family val="2"/>
    </font>
    <font>
      <sz val="10"/>
      <color theme="1"/>
      <name val="Arial"/>
      <family val="2"/>
    </font>
    <font>
      <b/>
      <sz val="10"/>
      <color theme="3" tint="-0.249977111117893"/>
      <name val="Arial"/>
      <family val="2"/>
    </font>
    <font>
      <b/>
      <sz val="8"/>
      <color theme="2" tint="-0.499984740745262"/>
      <name val="Arial"/>
      <family val="2"/>
    </font>
    <font>
      <b/>
      <sz val="10"/>
      <color theme="1"/>
      <name val="Arial"/>
      <family val="2"/>
    </font>
    <font>
      <b/>
      <sz val="9"/>
      <color theme="2" tint="-0.499984740745262"/>
      <name val="Arial"/>
      <family val="2"/>
    </font>
    <font>
      <sz val="11"/>
      <color theme="2" tint="-0.499984740745262"/>
      <name val="Arial"/>
      <family val="2"/>
    </font>
    <font>
      <sz val="10"/>
      <color theme="3" tint="-0.249977111117893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7"/>
      <color theme="3"/>
      <name val="Arial"/>
      <family val="2"/>
    </font>
    <font>
      <b/>
      <sz val="7"/>
      <color theme="3" tint="-0.249977111117893"/>
      <name val="Arial"/>
      <family val="2"/>
    </font>
    <font>
      <b/>
      <u/>
      <sz val="10"/>
      <color theme="3" tint="-0.249977111117893"/>
      <name val="Arial"/>
      <family val="2"/>
    </font>
    <font>
      <b/>
      <sz val="9"/>
      <color theme="1"/>
      <name val="Arial"/>
      <family val="2"/>
    </font>
    <font>
      <sz val="8"/>
      <color theme="2" tint="-0.749992370372631"/>
      <name val="Arial"/>
      <family val="2"/>
    </font>
    <font>
      <sz val="8"/>
      <color theme="1"/>
      <name val="Arial"/>
      <family val="2"/>
    </font>
    <font>
      <sz val="11"/>
      <color theme="0"/>
      <name val="Arial"/>
      <family val="2"/>
    </font>
    <font>
      <sz val="7.5"/>
      <color theme="2" tint="-0.749992370372631"/>
      <name val="Arial"/>
      <family val="2"/>
    </font>
    <font>
      <b/>
      <sz val="8"/>
      <color theme="3" tint="-0.249977111117893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lightUp"/>
    </fill>
    <fill>
      <patternFill patternType="solid">
        <fgColor rgb="FF548C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</fills>
  <borders count="60">
    <border>
      <left/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2"/>
      </left>
      <right/>
      <top style="thin">
        <color auto="1"/>
      </top>
      <bottom/>
      <diagonal/>
    </border>
    <border>
      <left/>
      <right style="thin">
        <color theme="2"/>
      </right>
      <top style="thin">
        <color auto="1"/>
      </top>
      <bottom/>
      <diagonal/>
    </border>
    <border>
      <left style="thin">
        <color theme="2"/>
      </left>
      <right/>
      <top/>
      <bottom style="thin">
        <color auto="1"/>
      </bottom>
      <diagonal/>
    </border>
    <border>
      <left/>
      <right style="thin">
        <color theme="2"/>
      </right>
      <top/>
      <bottom style="thin">
        <color auto="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 style="thin">
        <color theme="2"/>
      </right>
      <top style="thin">
        <color theme="1"/>
      </top>
      <bottom/>
      <diagonal/>
    </border>
    <border>
      <left style="thin">
        <color theme="2"/>
      </left>
      <right/>
      <top style="thin">
        <color theme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theme="2"/>
      </left>
      <right style="thin">
        <color theme="2"/>
      </right>
      <top style="thin">
        <color theme="1"/>
      </top>
      <bottom/>
      <diagonal/>
    </border>
    <border>
      <left style="thin">
        <color theme="2"/>
      </left>
      <right style="thin">
        <color theme="2"/>
      </right>
      <top style="thin">
        <color auto="1"/>
      </top>
      <bottom/>
      <diagonal/>
    </border>
    <border>
      <left style="thin">
        <color theme="2"/>
      </left>
      <right style="thin">
        <color theme="2"/>
      </right>
      <top/>
      <bottom style="thin">
        <color auto="1"/>
      </bottom>
      <diagonal/>
    </border>
    <border>
      <left style="thin">
        <color theme="2"/>
      </left>
      <right style="thin">
        <color auto="1"/>
      </right>
      <top style="thin">
        <color auto="1"/>
      </top>
      <bottom/>
      <diagonal/>
    </border>
    <border>
      <left style="thin">
        <color theme="2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theme="2"/>
      </top>
      <bottom style="medium">
        <color theme="2"/>
      </bottom>
      <diagonal/>
    </border>
    <border>
      <left/>
      <right style="thin">
        <color theme="0" tint="-0.14999847407452621"/>
      </right>
      <top style="medium">
        <color theme="2"/>
      </top>
      <bottom style="medium">
        <color theme="2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2"/>
      </top>
      <bottom style="medium">
        <color theme="2"/>
      </bottom>
      <diagonal/>
    </border>
    <border>
      <left/>
      <right style="thin">
        <color theme="0" tint="-0.14999847407452621"/>
      </right>
      <top/>
      <bottom style="medium">
        <color theme="2"/>
      </bottom>
      <diagonal/>
    </border>
    <border>
      <left/>
      <right/>
      <top style="medium">
        <color auto="1"/>
      </top>
      <bottom style="medium">
        <color theme="2"/>
      </bottom>
      <diagonal/>
    </border>
    <border>
      <left style="thin">
        <color theme="0" tint="-0.14999847407452621"/>
      </left>
      <right/>
      <top/>
      <bottom/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 style="medium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medium">
        <color auto="1"/>
      </bottom>
      <diagonal/>
    </border>
    <border>
      <left style="thin">
        <color theme="0" tint="-4.9989318521683403E-2"/>
      </left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 style="medium">
        <color auto="1"/>
      </top>
      <bottom style="medium">
        <color theme="2"/>
      </bottom>
      <diagonal/>
    </border>
    <border>
      <left style="thin">
        <color theme="2" tint="-0.249977111117893"/>
      </left>
      <right/>
      <top style="medium">
        <color theme="2"/>
      </top>
      <bottom style="medium">
        <color theme="2"/>
      </bottom>
      <diagonal/>
    </border>
    <border>
      <left/>
      <right style="thin">
        <color theme="2" tint="-0.249977111117893"/>
      </right>
      <top style="medium">
        <color auto="1"/>
      </top>
      <bottom style="medium">
        <color theme="2"/>
      </bottom>
      <diagonal/>
    </border>
    <border>
      <left/>
      <right style="thin">
        <color theme="2" tint="-0.249977111117893"/>
      </right>
      <top style="medium">
        <color theme="2"/>
      </top>
      <bottom style="medium">
        <color theme="2"/>
      </bottom>
      <diagonal/>
    </border>
    <border>
      <left style="thin">
        <color theme="2" tint="-9.9978637043366805E-2"/>
      </left>
      <right/>
      <top style="medium">
        <color theme="2"/>
      </top>
      <bottom style="medium">
        <color theme="2"/>
      </bottom>
      <diagonal/>
    </border>
    <border>
      <left/>
      <right style="thin">
        <color theme="2" tint="-0.249977111117893"/>
      </right>
      <top/>
      <bottom style="medium">
        <color theme="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medium">
        <color theme="2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/>
      </top>
      <bottom style="medium">
        <color theme="2"/>
      </bottom>
      <diagonal/>
    </border>
  </borders>
  <cellStyleXfs count="1">
    <xf numFmtId="0" fontId="0" fillId="0" borderId="0"/>
  </cellStyleXfs>
  <cellXfs count="30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4" borderId="3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5" borderId="0" xfId="0" applyFill="1"/>
    <xf numFmtId="0" fontId="4" fillId="1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6" borderId="0" xfId="0" applyFill="1"/>
    <xf numFmtId="0" fontId="0" fillId="17" borderId="0" xfId="0" applyFill="1"/>
    <xf numFmtId="0" fontId="4" fillId="4" borderId="0" xfId="0" applyFont="1" applyFill="1" applyAlignment="1">
      <alignment horizontal="center" vertical="center" wrapText="1"/>
    </xf>
    <xf numFmtId="16" fontId="1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4" fillId="0" borderId="0" xfId="0" applyFont="1"/>
    <xf numFmtId="0" fontId="4" fillId="0" borderId="30" xfId="0" applyFont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 wrapText="1"/>
    </xf>
    <xf numFmtId="0" fontId="4" fillId="13" borderId="30" xfId="0" applyFont="1" applyFill="1" applyBorder="1" applyAlignment="1">
      <alignment horizontal="center" vertical="center"/>
    </xf>
    <xf numFmtId="49" fontId="1" fillId="3" borderId="31" xfId="0" applyNumberFormat="1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49" fontId="1" fillId="4" borderId="31" xfId="0" applyNumberFormat="1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20" fillId="0" borderId="0" xfId="0" applyFont="1"/>
    <xf numFmtId="16" fontId="13" fillId="4" borderId="31" xfId="0" applyNumberFormat="1" applyFont="1" applyFill="1" applyBorder="1" applyAlignment="1">
      <alignment horizontal="center" vertical="center"/>
    </xf>
    <xf numFmtId="16" fontId="7" fillId="4" borderId="1" xfId="0" applyNumberFormat="1" applyFont="1" applyFill="1" applyBorder="1" applyAlignment="1">
      <alignment horizontal="center" vertical="center"/>
    </xf>
    <xf numFmtId="16" fontId="7" fillId="3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22" fillId="18" borderId="36" xfId="0" applyFont="1" applyFill="1" applyBorder="1" applyAlignment="1">
      <alignment horizontal="center" vertical="center"/>
    </xf>
    <xf numFmtId="0" fontId="24" fillId="4" borderId="35" xfId="0" applyFont="1" applyFill="1" applyBorder="1" applyAlignment="1">
      <alignment horizontal="center" vertical="center"/>
    </xf>
    <xf numFmtId="0" fontId="24" fillId="3" borderId="35" xfId="0" applyFont="1" applyFill="1" applyBorder="1" applyAlignment="1">
      <alignment horizontal="center" vertical="center" wrapText="1"/>
    </xf>
    <xf numFmtId="0" fontId="24" fillId="0" borderId="0" xfId="0" applyFont="1"/>
    <xf numFmtId="0" fontId="24" fillId="19" borderId="37" xfId="0" applyFont="1" applyFill="1" applyBorder="1"/>
    <xf numFmtId="0" fontId="24" fillId="0" borderId="37" xfId="0" applyFont="1" applyBorder="1"/>
    <xf numFmtId="0" fontId="24" fillId="0" borderId="0" xfId="0" applyFont="1" applyAlignment="1">
      <alignment vertical="center"/>
    </xf>
    <xf numFmtId="16" fontId="7" fillId="3" borderId="1" xfId="0" applyNumberFormat="1" applyFont="1" applyFill="1" applyBorder="1" applyAlignment="1">
      <alignment horizontal="center" vertical="center" wrapText="1"/>
    </xf>
    <xf numFmtId="0" fontId="19" fillId="2" borderId="38" xfId="0" applyFont="1" applyFill="1" applyBorder="1" applyAlignment="1">
      <alignment horizontal="center" vertical="center"/>
    </xf>
    <xf numFmtId="0" fontId="19" fillId="2" borderId="39" xfId="0" applyFont="1" applyFill="1" applyBorder="1" applyAlignment="1">
      <alignment horizontal="center" vertical="center"/>
    </xf>
    <xf numFmtId="0" fontId="4" fillId="0" borderId="39" xfId="0" applyFont="1" applyBorder="1"/>
    <xf numFmtId="0" fontId="4" fillId="0" borderId="40" xfId="0" applyFont="1" applyBorder="1"/>
    <xf numFmtId="0" fontId="0" fillId="0" borderId="3" xfId="0" applyBorder="1" applyAlignment="1">
      <alignment wrapText="1"/>
    </xf>
    <xf numFmtId="0" fontId="19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30" xfId="0" applyFont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" fontId="1" fillId="3" borderId="3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1" fillId="4" borderId="22" xfId="0" applyFont="1" applyFill="1" applyBorder="1" applyAlignment="1">
      <alignment horizontal="justify" vertical="center"/>
    </xf>
    <xf numFmtId="0" fontId="0" fillId="4" borderId="22" xfId="0" applyFill="1" applyBorder="1" applyAlignment="1">
      <alignment horizontal="justify" vertical="center"/>
    </xf>
    <xf numFmtId="0" fontId="1" fillId="4" borderId="23" xfId="0" applyFont="1" applyFill="1" applyBorder="1" applyAlignment="1">
      <alignment horizontal="justify" vertical="center"/>
    </xf>
    <xf numFmtId="0" fontId="0" fillId="4" borderId="23" xfId="0" applyFill="1" applyBorder="1" applyAlignment="1">
      <alignment horizontal="justify" vertical="center"/>
    </xf>
    <xf numFmtId="0" fontId="0" fillId="4" borderId="47" xfId="0" applyFill="1" applyBorder="1" applyAlignment="1">
      <alignment horizontal="justify" vertical="center"/>
    </xf>
    <xf numFmtId="0" fontId="1" fillId="4" borderId="48" xfId="0" applyFont="1" applyFill="1" applyBorder="1" applyAlignment="1">
      <alignment horizontal="justify" vertical="center"/>
    </xf>
    <xf numFmtId="0" fontId="1" fillId="4" borderId="49" xfId="0" applyFont="1" applyFill="1" applyBorder="1" applyAlignment="1">
      <alignment horizontal="justify" vertical="center"/>
    </xf>
    <xf numFmtId="0" fontId="0" fillId="4" borderId="48" xfId="0" applyFill="1" applyBorder="1" applyAlignment="1">
      <alignment horizontal="justify" vertical="center"/>
    </xf>
    <xf numFmtId="0" fontId="0" fillId="4" borderId="45" xfId="0" applyFill="1" applyBorder="1" applyAlignment="1">
      <alignment horizontal="justify" vertical="center"/>
    </xf>
    <xf numFmtId="0" fontId="0" fillId="4" borderId="44" xfId="0" applyFill="1" applyBorder="1" applyAlignment="1">
      <alignment horizontal="justify" vertical="center"/>
    </xf>
    <xf numFmtId="0" fontId="1" fillId="4" borderId="44" xfId="0" applyFont="1" applyFill="1" applyBorder="1" applyAlignment="1">
      <alignment horizontal="justify" vertical="center"/>
    </xf>
    <xf numFmtId="0" fontId="0" fillId="4" borderId="49" xfId="0" applyFill="1" applyBorder="1" applyAlignment="1">
      <alignment horizontal="justify" vertical="center"/>
    </xf>
    <xf numFmtId="0" fontId="25" fillId="2" borderId="41" xfId="0" applyFont="1" applyFill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 wrapText="1"/>
    </xf>
    <xf numFmtId="0" fontId="25" fillId="2" borderId="40" xfId="0" applyFont="1" applyFill="1" applyBorder="1" applyAlignment="1">
      <alignment horizontal="center" vertical="center" wrapText="1"/>
    </xf>
    <xf numFmtId="0" fontId="25" fillId="2" borderId="42" xfId="0" applyFont="1" applyFill="1" applyBorder="1" applyAlignment="1">
      <alignment horizontal="center" vertical="center"/>
    </xf>
    <xf numFmtId="0" fontId="25" fillId="2" borderId="43" xfId="0" applyFont="1" applyFill="1" applyBorder="1" applyAlignment="1">
      <alignment horizontal="center" vertical="center" wrapText="1"/>
    </xf>
    <xf numFmtId="0" fontId="25" fillId="2" borderId="41" xfId="0" applyFont="1" applyFill="1" applyBorder="1" applyAlignment="1">
      <alignment horizontal="center" vertical="center" wrapText="1"/>
    </xf>
    <xf numFmtId="0" fontId="25" fillId="2" borderId="38" xfId="0" applyFont="1" applyFill="1" applyBorder="1" applyAlignment="1">
      <alignment horizontal="center" vertical="center"/>
    </xf>
    <xf numFmtId="16" fontId="1" fillId="3" borderId="50" xfId="0" applyNumberFormat="1" applyFont="1" applyFill="1" applyBorder="1" applyAlignment="1">
      <alignment horizontal="center" vertical="center" wrapText="1"/>
    </xf>
    <xf numFmtId="16" fontId="1" fillId="0" borderId="50" xfId="0" applyNumberFormat="1" applyFont="1" applyBorder="1" applyAlignment="1">
      <alignment horizontal="center" vertical="center" wrapText="1"/>
    </xf>
    <xf numFmtId="16" fontId="1" fillId="4" borderId="50" xfId="0" applyNumberFormat="1" applyFont="1" applyFill="1" applyBorder="1" applyAlignment="1">
      <alignment horizontal="center" vertical="center" wrapText="1"/>
    </xf>
    <xf numFmtId="16" fontId="1" fillId="3" borderId="50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4" borderId="30" xfId="0" applyFill="1" applyBorder="1" applyAlignment="1">
      <alignment horizontal="center" vertical="center" wrapText="1"/>
    </xf>
    <xf numFmtId="0" fontId="0" fillId="4" borderId="55" xfId="0" applyFill="1" applyBorder="1" applyAlignment="1">
      <alignment horizontal="center" vertical="center" wrapText="1"/>
    </xf>
    <xf numFmtId="0" fontId="0" fillId="4" borderId="53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16" fontId="1" fillId="3" borderId="54" xfId="0" applyNumberFormat="1" applyFont="1" applyFill="1" applyBorder="1" applyAlignment="1">
      <alignment horizontal="center" vertical="center" wrapText="1"/>
    </xf>
    <xf numFmtId="16" fontId="1" fillId="4" borderId="55" xfId="0" applyNumberFormat="1" applyFont="1" applyFill="1" applyBorder="1" applyAlignment="1">
      <alignment horizontal="center" vertical="center"/>
    </xf>
    <xf numFmtId="16" fontId="1" fillId="3" borderId="55" xfId="0" applyNumberFormat="1" applyFont="1" applyFill="1" applyBorder="1" applyAlignment="1">
      <alignment horizontal="center" vertical="center" wrapText="1"/>
    </xf>
    <xf numFmtId="16" fontId="1" fillId="4" borderId="55" xfId="0" applyNumberFormat="1" applyFont="1" applyFill="1" applyBorder="1" applyAlignment="1">
      <alignment horizontal="center" vertical="center" wrapText="1"/>
    </xf>
    <xf numFmtId="16" fontId="1" fillId="3" borderId="55" xfId="0" applyNumberFormat="1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5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16" fontId="1" fillId="3" borderId="57" xfId="0" applyNumberFormat="1" applyFont="1" applyFill="1" applyBorder="1" applyAlignment="1">
      <alignment horizontal="center" vertical="center" wrapText="1"/>
    </xf>
    <xf numFmtId="16" fontId="13" fillId="4" borderId="55" xfId="0" applyNumberFormat="1" applyFont="1" applyFill="1" applyBorder="1" applyAlignment="1">
      <alignment horizontal="center" vertical="center" wrapText="1"/>
    </xf>
    <xf numFmtId="0" fontId="0" fillId="3" borderId="58" xfId="0" applyFill="1" applyBorder="1" applyAlignment="1">
      <alignment horizontal="center" vertical="center" wrapText="1"/>
    </xf>
    <xf numFmtId="0" fontId="4" fillId="4" borderId="59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textRotation="90" wrapText="1"/>
    </xf>
    <xf numFmtId="0" fontId="1" fillId="11" borderId="12" xfId="0" applyFont="1" applyFill="1" applyBorder="1" applyAlignment="1">
      <alignment horizontal="center" vertical="center" textRotation="90" wrapText="1"/>
    </xf>
    <xf numFmtId="0" fontId="1" fillId="10" borderId="0" xfId="0" applyFont="1" applyFill="1" applyAlignment="1">
      <alignment horizontal="center" vertical="center" textRotation="90" wrapText="1"/>
    </xf>
    <xf numFmtId="0" fontId="1" fillId="10" borderId="12" xfId="0" applyFont="1" applyFill="1" applyBorder="1" applyAlignment="1">
      <alignment horizontal="center" vertical="center" textRotation="90" wrapText="1"/>
    </xf>
    <xf numFmtId="0" fontId="1" fillId="12" borderId="0" xfId="0" applyFont="1" applyFill="1" applyAlignment="1">
      <alignment horizontal="center" vertical="center" textRotation="90" wrapText="1"/>
    </xf>
    <xf numFmtId="0" fontId="1" fillId="12" borderId="12" xfId="0" applyFont="1" applyFill="1" applyBorder="1" applyAlignment="1">
      <alignment horizontal="center" vertical="center" textRotation="90" wrapText="1"/>
    </xf>
    <xf numFmtId="0" fontId="1" fillId="5" borderId="0" xfId="0" applyFont="1" applyFill="1" applyAlignment="1">
      <alignment horizontal="center" vertical="center" textRotation="90" wrapText="1"/>
    </xf>
    <xf numFmtId="0" fontId="1" fillId="5" borderId="12" xfId="0" applyFont="1" applyFill="1" applyBorder="1" applyAlignment="1">
      <alignment horizontal="center" vertical="center" textRotation="90" wrapText="1"/>
    </xf>
    <xf numFmtId="0" fontId="1" fillId="6" borderId="0" xfId="0" applyFont="1" applyFill="1" applyAlignment="1">
      <alignment horizontal="center" vertical="center" textRotation="90" wrapText="1"/>
    </xf>
    <xf numFmtId="0" fontId="1" fillId="6" borderId="12" xfId="0" applyFont="1" applyFill="1" applyBorder="1" applyAlignment="1">
      <alignment horizontal="center" vertical="center" textRotation="90" wrapText="1"/>
    </xf>
    <xf numFmtId="0" fontId="1" fillId="7" borderId="0" xfId="0" applyFont="1" applyFill="1" applyAlignment="1">
      <alignment horizontal="center" vertical="center" textRotation="90" wrapText="1"/>
    </xf>
    <xf numFmtId="0" fontId="1" fillId="7" borderId="12" xfId="0" applyFont="1" applyFill="1" applyBorder="1" applyAlignment="1">
      <alignment horizontal="center" vertical="center" textRotation="90" wrapText="1"/>
    </xf>
    <xf numFmtId="0" fontId="1" fillId="8" borderId="0" xfId="0" applyFont="1" applyFill="1" applyAlignment="1">
      <alignment horizontal="center" vertical="center" textRotation="90" wrapText="1"/>
    </xf>
    <xf numFmtId="0" fontId="1" fillId="8" borderId="12" xfId="0" applyFont="1" applyFill="1" applyBorder="1" applyAlignment="1">
      <alignment horizontal="center" vertical="center" textRotation="90" wrapText="1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5" fillId="2" borderId="43" xfId="0" applyFont="1" applyFill="1" applyBorder="1" applyAlignment="1">
      <alignment horizontal="center" vertical="center"/>
    </xf>
    <xf numFmtId="0" fontId="25" fillId="2" borderId="4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7" fillId="10" borderId="6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/>
    </xf>
    <xf numFmtId="0" fontId="15" fillId="9" borderId="27" xfId="0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 vertical="top"/>
    </xf>
    <xf numFmtId="0" fontId="17" fillId="9" borderId="16" xfId="0" applyFont="1" applyFill="1" applyBorder="1" applyAlignment="1">
      <alignment horizontal="center" vertical="top"/>
    </xf>
    <xf numFmtId="0" fontId="17" fillId="9" borderId="26" xfId="0" applyFont="1" applyFill="1" applyBorder="1" applyAlignment="1">
      <alignment horizontal="center" vertical="top"/>
    </xf>
    <xf numFmtId="0" fontId="17" fillId="9" borderId="28" xfId="0" applyFont="1" applyFill="1" applyBorder="1" applyAlignment="1">
      <alignment horizontal="center" vertical="top"/>
    </xf>
    <xf numFmtId="0" fontId="15" fillId="9" borderId="13" xfId="0" applyFont="1" applyFill="1" applyBorder="1" applyAlignment="1">
      <alignment horizontal="center"/>
    </xf>
    <xf numFmtId="0" fontId="15" fillId="9" borderId="14" xfId="0" applyFont="1" applyFill="1" applyBorder="1" applyAlignment="1">
      <alignment horizontal="center"/>
    </xf>
    <xf numFmtId="0" fontId="18" fillId="9" borderId="26" xfId="0" applyFont="1" applyFill="1" applyBorder="1" applyAlignment="1">
      <alignment horizontal="center" vertical="top"/>
    </xf>
    <xf numFmtId="0" fontId="18" fillId="9" borderId="15" xfId="0" applyFont="1" applyFill="1" applyBorder="1" applyAlignment="1">
      <alignment horizontal="center" vertical="top"/>
    </xf>
    <xf numFmtId="0" fontId="14" fillId="9" borderId="17" xfId="0" applyFont="1" applyFill="1" applyBorder="1" applyAlignment="1">
      <alignment horizontal="center"/>
    </xf>
    <xf numFmtId="0" fontId="14" fillId="9" borderId="18" xfId="0" applyFont="1" applyFill="1" applyBorder="1" applyAlignment="1">
      <alignment horizontal="center"/>
    </xf>
    <xf numFmtId="0" fontId="16" fillId="9" borderId="8" xfId="0" applyFont="1" applyFill="1" applyBorder="1" applyAlignment="1">
      <alignment horizontal="center" vertical="top"/>
    </xf>
    <xf numFmtId="0" fontId="16" fillId="9" borderId="16" xfId="0" applyFont="1" applyFill="1" applyBorder="1" applyAlignment="1">
      <alignment horizontal="center" vertical="top"/>
    </xf>
    <xf numFmtId="0" fontId="14" fillId="9" borderId="24" xfId="0" applyFont="1" applyFill="1" applyBorder="1" applyAlignment="1">
      <alignment horizontal="center"/>
    </xf>
    <xf numFmtId="0" fontId="16" fillId="9" borderId="26" xfId="0" applyFont="1" applyFill="1" applyBorder="1" applyAlignment="1">
      <alignment horizontal="center" vertical="top"/>
    </xf>
    <xf numFmtId="0" fontId="14" fillId="9" borderId="19" xfId="0" applyFont="1" applyFill="1" applyBorder="1" applyAlignment="1">
      <alignment horizontal="center"/>
    </xf>
    <xf numFmtId="0" fontId="16" fillId="9" borderId="15" xfId="0" applyFont="1" applyFill="1" applyBorder="1" applyAlignment="1">
      <alignment horizontal="center" vertical="top"/>
    </xf>
    <xf numFmtId="0" fontId="0" fillId="0" borderId="44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 textRotation="90"/>
    </xf>
    <xf numFmtId="0" fontId="0" fillId="0" borderId="45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/>
    </xf>
    <xf numFmtId="0" fontId="1" fillId="4" borderId="0" xfId="0" applyFont="1" applyFill="1" applyAlignment="1">
      <alignment horizontal="center" vertical="center" textRotation="90"/>
    </xf>
    <xf numFmtId="0" fontId="7" fillId="10" borderId="6" xfId="0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 vertical="top" wrapText="1"/>
    </xf>
    <xf numFmtId="0" fontId="17" fillId="9" borderId="16" xfId="0" applyFont="1" applyFill="1" applyBorder="1" applyAlignment="1">
      <alignment horizontal="center" vertical="top" wrapText="1"/>
    </xf>
    <xf numFmtId="0" fontId="17" fillId="9" borderId="26" xfId="0" applyFont="1" applyFill="1" applyBorder="1" applyAlignment="1">
      <alignment horizontal="center" vertical="top" wrapText="1"/>
    </xf>
    <xf numFmtId="0" fontId="17" fillId="9" borderId="28" xfId="0" applyFont="1" applyFill="1" applyBorder="1" applyAlignment="1">
      <alignment horizontal="center" vertical="top" wrapText="1"/>
    </xf>
    <xf numFmtId="0" fontId="13" fillId="10" borderId="10" xfId="0" applyFont="1" applyFill="1" applyBorder="1" applyAlignment="1">
      <alignment horizontal="center" vertical="center" wrapText="1"/>
    </xf>
    <xf numFmtId="0" fontId="13" fillId="10" borderId="11" xfId="0" applyFont="1" applyFill="1" applyBorder="1" applyAlignment="1">
      <alignment horizontal="center" vertical="center" wrapText="1"/>
    </xf>
    <xf numFmtId="0" fontId="13" fillId="10" borderId="8" xfId="0" applyFont="1" applyFill="1" applyBorder="1" applyAlignment="1">
      <alignment horizontal="center" vertical="center" wrapText="1"/>
    </xf>
    <xf numFmtId="0" fontId="13" fillId="10" borderId="9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top" wrapText="1"/>
    </xf>
    <xf numFmtId="0" fontId="16" fillId="9" borderId="16" xfId="0" applyFont="1" applyFill="1" applyBorder="1" applyAlignment="1">
      <alignment horizontal="center" vertical="top" wrapText="1"/>
    </xf>
    <xf numFmtId="0" fontId="16" fillId="9" borderId="15" xfId="0" applyFont="1" applyFill="1" applyBorder="1" applyAlignment="1">
      <alignment horizontal="center" vertical="top" wrapText="1"/>
    </xf>
    <xf numFmtId="0" fontId="16" fillId="9" borderId="26" xfId="0" applyFont="1" applyFill="1" applyBorder="1" applyAlignment="1">
      <alignment horizontal="center" vertical="top" wrapText="1"/>
    </xf>
    <xf numFmtId="0" fontId="27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8" fillId="0" borderId="0" xfId="0" applyFont="1" applyAlignment="1">
      <alignment horizontal="right"/>
    </xf>
    <xf numFmtId="20" fontId="1" fillId="0" borderId="0" xfId="0" applyNumberFormat="1" applyFont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5" fillId="2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0" borderId="0" xfId="0" applyFont="1"/>
    <xf numFmtId="20" fontId="29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5" fillId="21" borderId="0" xfId="0" applyFont="1" applyFill="1" applyAlignment="1">
      <alignment horizontal="center"/>
    </xf>
    <xf numFmtId="20" fontId="30" fillId="0" borderId="0" xfId="0" applyNumberFormat="1" applyFont="1" applyAlignment="1">
      <alignment horizontal="center"/>
    </xf>
    <xf numFmtId="20" fontId="28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top" wrapText="1"/>
    </xf>
    <xf numFmtId="20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5" fillId="22" borderId="0" xfId="0" applyFont="1" applyFill="1" applyAlignment="1">
      <alignment horizontal="center"/>
    </xf>
    <xf numFmtId="20" fontId="31" fillId="0" borderId="0" xfId="0" applyNumberFormat="1" applyFont="1" applyAlignment="1">
      <alignment horizontal="center"/>
    </xf>
    <xf numFmtId="0" fontId="32" fillId="0" borderId="0" xfId="0" applyFont="1" applyAlignment="1">
      <alignment horizontal="left"/>
    </xf>
    <xf numFmtId="0" fontId="33" fillId="0" borderId="0" xfId="0" applyFont="1"/>
    <xf numFmtId="0" fontId="34" fillId="0" borderId="0" xfId="0" applyFont="1" applyAlignment="1">
      <alignment horizontal="right"/>
    </xf>
    <xf numFmtId="20" fontId="35" fillId="0" borderId="0" xfId="0" applyNumberFormat="1" applyFont="1" applyAlignment="1">
      <alignment horizontal="center" vertic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right"/>
    </xf>
    <xf numFmtId="20" fontId="35" fillId="0" borderId="0" xfId="0" applyNumberFormat="1" applyFont="1" applyAlignment="1">
      <alignment horizontal="center" vertical="center"/>
    </xf>
    <xf numFmtId="20" fontId="37" fillId="0" borderId="0" xfId="0" applyNumberFormat="1" applyFont="1" applyAlignment="1">
      <alignment horizontal="center" vertical="center"/>
    </xf>
    <xf numFmtId="20" fontId="38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20" fontId="37" fillId="0" borderId="0" xfId="0" applyNumberFormat="1" applyFont="1" applyAlignment="1">
      <alignment horizontal="center"/>
    </xf>
    <xf numFmtId="20" fontId="40" fillId="0" borderId="0" xfId="0" applyNumberFormat="1" applyFont="1" applyAlignment="1">
      <alignment horizontal="center"/>
    </xf>
    <xf numFmtId="0" fontId="34" fillId="0" borderId="0" xfId="0" applyFont="1" applyAlignment="1">
      <alignment horizontal="left"/>
    </xf>
    <xf numFmtId="0" fontId="40" fillId="0" borderId="0" xfId="0" applyFont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1" fillId="0" borderId="0" xfId="0" applyFont="1"/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quotePrefix="1" applyFont="1" applyAlignment="1">
      <alignment horizontal="left" wrapText="1"/>
    </xf>
    <xf numFmtId="0" fontId="34" fillId="0" borderId="0" xfId="0" applyFont="1"/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top" wrapText="1"/>
    </xf>
    <xf numFmtId="0" fontId="33" fillId="0" borderId="0" xfId="0" applyFont="1" applyAlignment="1">
      <alignment vertical="top" wrapText="1"/>
    </xf>
    <xf numFmtId="20" fontId="40" fillId="0" borderId="0" xfId="0" applyNumberFormat="1" applyFont="1"/>
    <xf numFmtId="0" fontId="34" fillId="0" borderId="0" xfId="0" applyFont="1" applyAlignment="1">
      <alignment vertical="center"/>
    </xf>
    <xf numFmtId="0" fontId="40" fillId="0" borderId="0" xfId="0" applyFont="1" applyAlignment="1">
      <alignment horizontal="left"/>
    </xf>
    <xf numFmtId="0" fontId="39" fillId="0" borderId="0" xfId="0" applyFont="1"/>
    <xf numFmtId="0" fontId="37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47" fillId="0" borderId="0" xfId="0" applyFont="1"/>
    <xf numFmtId="0" fontId="27" fillId="0" borderId="0" xfId="0" applyFont="1" applyAlignment="1">
      <alignment horizontal="center" vertical="top"/>
    </xf>
    <xf numFmtId="0" fontId="32" fillId="0" borderId="0" xfId="0" applyFont="1"/>
    <xf numFmtId="0" fontId="32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34" fillId="0" borderId="0" xfId="0" applyFont="1" applyAlignment="1">
      <alignment horizontal="left" wrapText="1"/>
    </xf>
    <xf numFmtId="0" fontId="49" fillId="0" borderId="0" xfId="0" applyFont="1" applyAlignment="1">
      <alignment horizontal="left" vertical="top" wrapText="1"/>
    </xf>
    <xf numFmtId="0" fontId="50" fillId="0" borderId="0" xfId="0" applyFont="1" applyAlignment="1">
      <alignment horizontal="center" vertical="center"/>
    </xf>
    <xf numFmtId="0" fontId="34" fillId="0" borderId="0" xfId="0" quotePrefix="1" applyFont="1" applyAlignment="1">
      <alignment horizontal="left" wrapText="1"/>
    </xf>
    <xf numFmtId="0" fontId="41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34" fillId="0" borderId="0" xfId="0" quotePrefix="1" applyFont="1"/>
    <xf numFmtId="0" fontId="34" fillId="0" borderId="0" xfId="0" applyFont="1" applyAlignment="1">
      <alignment horizontal="left" wrapText="1"/>
    </xf>
    <xf numFmtId="0" fontId="41" fillId="23" borderId="0" xfId="0" applyFont="1" applyFill="1" applyAlignment="1">
      <alignment horizontal="center"/>
    </xf>
    <xf numFmtId="0" fontId="48" fillId="23" borderId="0" xfId="0" applyFont="1" applyFill="1" applyAlignment="1">
      <alignment horizontal="center"/>
    </xf>
    <xf numFmtId="0" fontId="41" fillId="21" borderId="0" xfId="0" applyFont="1" applyFill="1" applyAlignment="1">
      <alignment horizontal="center"/>
    </xf>
    <xf numFmtId="0" fontId="49" fillId="0" borderId="0" xfId="0" applyFont="1" applyAlignment="1">
      <alignment horizontal="left" vertical="top" wrapText="1"/>
    </xf>
    <xf numFmtId="0" fontId="41" fillId="22" borderId="0" xfId="0" applyFont="1" applyFill="1" applyAlignment="1">
      <alignment horizontal="center"/>
    </xf>
  </cellXfs>
  <cellStyles count="1">
    <cellStyle name="Normal" xfId="0" builtinId="0"/>
  </cellStyles>
  <dxfs count="50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186893</xdr:colOff>
      <xdr:row>70</xdr:row>
      <xdr:rowOff>26985</xdr:rowOff>
    </xdr:from>
    <xdr:to>
      <xdr:col>9</xdr:col>
      <xdr:colOff>686956</xdr:colOff>
      <xdr:row>70</xdr:row>
      <xdr:rowOff>31748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DFDBA30-7101-44CF-8702-5676FA4DDB80}"/>
            </a:ext>
          </a:extLst>
        </xdr:cNvPr>
        <xdr:cNvCxnSpPr/>
      </xdr:nvCxnSpPr>
      <xdr:spPr>
        <a:xfrm flipV="1">
          <a:off x="186893" y="10891835"/>
          <a:ext cx="6151563" cy="4763"/>
        </a:xfrm>
        <a:prstGeom prst="line">
          <a:avLst/>
        </a:prstGeom>
        <a:ln w="19050"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88904</xdr:colOff>
      <xdr:row>106</xdr:row>
      <xdr:rowOff>26987</xdr:rowOff>
    </xdr:from>
    <xdr:to>
      <xdr:col>9</xdr:col>
      <xdr:colOff>588967</xdr:colOff>
      <xdr:row>106</xdr:row>
      <xdr:rowOff>26987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FCD75845-05E0-4678-BA62-07373A8B55B3}"/>
            </a:ext>
          </a:extLst>
        </xdr:cNvPr>
        <xdr:cNvCxnSpPr/>
      </xdr:nvCxnSpPr>
      <xdr:spPr>
        <a:xfrm flipV="1">
          <a:off x="88904" y="16454437"/>
          <a:ext cx="6151563" cy="0"/>
        </a:xfrm>
        <a:prstGeom prst="line">
          <a:avLst/>
        </a:prstGeom>
        <a:ln w="19050"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55566</xdr:colOff>
      <xdr:row>136</xdr:row>
      <xdr:rowOff>50799</xdr:rowOff>
    </xdr:from>
    <xdr:to>
      <xdr:col>9</xdr:col>
      <xdr:colOff>555629</xdr:colOff>
      <xdr:row>136</xdr:row>
      <xdr:rowOff>55562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E6AC85F-3B69-4797-81A6-F298A130B04C}"/>
            </a:ext>
          </a:extLst>
        </xdr:cNvPr>
        <xdr:cNvCxnSpPr/>
      </xdr:nvCxnSpPr>
      <xdr:spPr>
        <a:xfrm flipV="1">
          <a:off x="55566" y="21310599"/>
          <a:ext cx="6151563" cy="4763"/>
        </a:xfrm>
        <a:prstGeom prst="line">
          <a:avLst/>
        </a:prstGeom>
        <a:ln w="19050"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55566</xdr:colOff>
      <xdr:row>136</xdr:row>
      <xdr:rowOff>50799</xdr:rowOff>
    </xdr:from>
    <xdr:to>
      <xdr:col>9</xdr:col>
      <xdr:colOff>555629</xdr:colOff>
      <xdr:row>136</xdr:row>
      <xdr:rowOff>55562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23729347-E84B-4A3A-9E41-ADA6ED372913}"/>
            </a:ext>
          </a:extLst>
        </xdr:cNvPr>
        <xdr:cNvCxnSpPr/>
      </xdr:nvCxnSpPr>
      <xdr:spPr>
        <a:xfrm flipV="1">
          <a:off x="55566" y="21310599"/>
          <a:ext cx="6151563" cy="4763"/>
        </a:xfrm>
        <a:prstGeom prst="line">
          <a:avLst/>
        </a:prstGeom>
        <a:ln w="19050">
          <a:solidFill>
            <a:schemeClr val="accent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ACEF-0BB1-48C3-8B11-524D5CA595A8}">
  <dimension ref="A1:AO36"/>
  <sheetViews>
    <sheetView showGridLines="0" zoomScale="90" zoomScaleNormal="90" workbookViewId="0">
      <pane xSplit="1" ySplit="3" topLeftCell="B4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4.5" x14ac:dyDescent="0.35"/>
  <cols>
    <col min="1" max="1" width="2.08984375" customWidth="1"/>
    <col min="2" max="2" width="11" customWidth="1"/>
    <col min="3" max="4" width="14.453125" bestFit="1" customWidth="1"/>
    <col min="5" max="6" width="10.08984375" bestFit="1" customWidth="1"/>
    <col min="7" max="7" width="12" bestFit="1" customWidth="1"/>
    <col min="8" max="9" width="14.453125" bestFit="1" customWidth="1"/>
    <col min="10" max="10" width="2.54296875" customWidth="1"/>
    <col min="11" max="11" width="14.453125" bestFit="1" customWidth="1"/>
    <col min="12" max="12" width="19" bestFit="1" customWidth="1"/>
    <col min="13" max="13" width="3.36328125" customWidth="1"/>
    <col min="14" max="14" width="15.36328125" bestFit="1" customWidth="1"/>
    <col min="15" max="15" width="12.453125" bestFit="1" customWidth="1"/>
    <col min="16" max="17" width="12" bestFit="1" customWidth="1"/>
    <col min="18" max="18" width="15.36328125" bestFit="1" customWidth="1"/>
    <col min="19" max="19" width="12.453125" bestFit="1" customWidth="1"/>
    <col min="20" max="20" width="15.36328125" bestFit="1" customWidth="1"/>
    <col min="21" max="21" width="15.36328125" customWidth="1"/>
    <col min="22" max="22" width="3.36328125" customWidth="1"/>
    <col min="23" max="29" width="6.36328125" customWidth="1"/>
    <col min="30" max="30" width="4.6328125" customWidth="1"/>
    <col min="31" max="31" width="5.54296875" style="30" customWidth="1"/>
    <col min="32" max="32" width="6.08984375" style="30" customWidth="1"/>
    <col min="33" max="39" width="6.08984375" customWidth="1"/>
    <col min="40" max="40" width="5.54296875" style="30" customWidth="1"/>
    <col min="41" max="41" width="19.6328125" customWidth="1"/>
  </cols>
  <sheetData>
    <row r="1" spans="1:41" ht="21" customHeight="1" x14ac:dyDescent="0.35">
      <c r="B1" s="157" t="s">
        <v>190</v>
      </c>
      <c r="C1" s="157"/>
      <c r="D1" s="157"/>
      <c r="E1" s="157"/>
      <c r="F1" s="157"/>
      <c r="G1" s="157"/>
      <c r="H1" s="157"/>
      <c r="I1" s="157"/>
      <c r="J1" s="2"/>
      <c r="K1" s="2"/>
      <c r="L1" s="2"/>
      <c r="N1" s="145" t="s">
        <v>12</v>
      </c>
      <c r="O1" s="147" t="s">
        <v>146</v>
      </c>
      <c r="P1" s="149" t="s">
        <v>1</v>
      </c>
      <c r="Q1" s="151" t="s">
        <v>2</v>
      </c>
      <c r="R1" s="153" t="s">
        <v>13</v>
      </c>
      <c r="S1" s="141" t="s">
        <v>129</v>
      </c>
      <c r="T1" s="143" t="s">
        <v>130</v>
      </c>
      <c r="W1" s="145" t="s">
        <v>12</v>
      </c>
      <c r="X1" s="147" t="s">
        <v>146</v>
      </c>
      <c r="Y1" s="149" t="s">
        <v>1</v>
      </c>
      <c r="Z1" s="151" t="s">
        <v>2</v>
      </c>
      <c r="AA1" s="153" t="s">
        <v>13</v>
      </c>
      <c r="AB1" s="141" t="s">
        <v>129</v>
      </c>
      <c r="AC1" s="143" t="s">
        <v>130</v>
      </c>
      <c r="AF1" s="145" t="s">
        <v>12</v>
      </c>
      <c r="AG1" s="147" t="s">
        <v>146</v>
      </c>
      <c r="AH1" s="149" t="s">
        <v>1</v>
      </c>
      <c r="AI1" s="151" t="s">
        <v>2</v>
      </c>
      <c r="AJ1" s="153" t="s">
        <v>13</v>
      </c>
      <c r="AK1" s="141" t="s">
        <v>129</v>
      </c>
      <c r="AL1" s="143" t="s">
        <v>130</v>
      </c>
      <c r="AO1" s="30"/>
    </row>
    <row r="2" spans="1:41" ht="21" customHeight="1" x14ac:dyDescent="0.35">
      <c r="B2" s="157"/>
      <c r="C2" s="157"/>
      <c r="D2" s="157"/>
      <c r="E2" s="157"/>
      <c r="F2" s="157"/>
      <c r="G2" s="157"/>
      <c r="H2" s="157"/>
      <c r="I2" s="157"/>
      <c r="J2" s="2"/>
      <c r="K2" s="155" t="s">
        <v>103</v>
      </c>
      <c r="L2" s="155"/>
      <c r="N2" s="145"/>
      <c r="O2" s="147"/>
      <c r="P2" s="149"/>
      <c r="Q2" s="151"/>
      <c r="R2" s="153"/>
      <c r="S2" s="141"/>
      <c r="T2" s="143"/>
      <c r="W2" s="145"/>
      <c r="X2" s="147"/>
      <c r="Y2" s="149"/>
      <c r="Z2" s="151"/>
      <c r="AA2" s="153"/>
      <c r="AB2" s="141"/>
      <c r="AC2" s="143"/>
      <c r="AF2" s="145"/>
      <c r="AG2" s="147"/>
      <c r="AH2" s="149"/>
      <c r="AI2" s="151"/>
      <c r="AJ2" s="153"/>
      <c r="AK2" s="141"/>
      <c r="AL2" s="143"/>
      <c r="AO2" s="30"/>
    </row>
    <row r="3" spans="1:41" ht="29" customHeight="1" x14ac:dyDescent="0.35">
      <c r="B3" s="1" t="s">
        <v>0</v>
      </c>
      <c r="C3" s="156" t="s">
        <v>3</v>
      </c>
      <c r="D3" s="156"/>
      <c r="E3" s="156" t="s">
        <v>4</v>
      </c>
      <c r="F3" s="156"/>
      <c r="G3" s="1" t="s">
        <v>1</v>
      </c>
      <c r="H3" s="1" t="s">
        <v>2</v>
      </c>
      <c r="I3" s="6" t="s">
        <v>147</v>
      </c>
      <c r="K3" s="1" t="s">
        <v>25</v>
      </c>
      <c r="L3" s="1" t="s">
        <v>26</v>
      </c>
      <c r="N3" s="146"/>
      <c r="O3" s="148"/>
      <c r="P3" s="150"/>
      <c r="Q3" s="152"/>
      <c r="R3" s="154"/>
      <c r="S3" s="142"/>
      <c r="T3" s="144"/>
      <c r="W3" s="146"/>
      <c r="X3" s="148"/>
      <c r="Y3" s="150"/>
      <c r="Z3" s="152"/>
      <c r="AA3" s="154"/>
      <c r="AB3" s="142"/>
      <c r="AC3" s="144"/>
      <c r="AF3" s="146"/>
      <c r="AG3" s="148"/>
      <c r="AH3" s="150"/>
      <c r="AI3" s="152"/>
      <c r="AJ3" s="154"/>
      <c r="AK3" s="142"/>
      <c r="AL3" s="144"/>
      <c r="AO3" s="30"/>
    </row>
    <row r="4" spans="1:41" ht="22.25" customHeight="1" x14ac:dyDescent="0.35">
      <c r="A4" s="35"/>
      <c r="B4" s="16" t="s">
        <v>148</v>
      </c>
      <c r="C4" s="34" t="s">
        <v>5</v>
      </c>
      <c r="D4" s="34" t="s">
        <v>22</v>
      </c>
      <c r="E4" s="34" t="s">
        <v>16</v>
      </c>
      <c r="F4" s="34" t="s">
        <v>24</v>
      </c>
      <c r="G4" s="34" t="s">
        <v>15</v>
      </c>
      <c r="H4" s="34" t="s">
        <v>145</v>
      </c>
      <c r="I4" s="34" t="s">
        <v>6</v>
      </c>
      <c r="J4" s="30"/>
      <c r="K4" s="34" t="str">
        <f>'Designações FDS ()'!J3</f>
        <v>Almir Fernandes</v>
      </c>
      <c r="L4" s="34" t="str">
        <f>'Designações FDS ()'!K3</f>
        <v>BRUNO REIS</v>
      </c>
      <c r="N4" s="12"/>
      <c r="O4" s="12"/>
      <c r="P4" s="12"/>
      <c r="Q4" s="11"/>
      <c r="R4" s="11"/>
      <c r="S4" s="11"/>
      <c r="T4" s="29" t="s">
        <v>132</v>
      </c>
      <c r="V4" s="30">
        <v>1</v>
      </c>
      <c r="W4" s="12"/>
      <c r="X4" s="12"/>
      <c r="Y4" s="12"/>
      <c r="Z4" s="11"/>
      <c r="AA4" s="11"/>
      <c r="AB4" s="11"/>
      <c r="AC4" s="29">
        <v>1</v>
      </c>
      <c r="AE4" s="30">
        <f ca="1">RAND()</f>
        <v>0.88053741214117009</v>
      </c>
      <c r="AF4" s="31"/>
      <c r="AG4" s="31"/>
      <c r="AH4" s="31"/>
      <c r="AI4" s="32"/>
      <c r="AJ4" s="32"/>
      <c r="AK4" s="32"/>
      <c r="AL4" s="29">
        <v>1</v>
      </c>
      <c r="AN4" s="30">
        <v>1</v>
      </c>
      <c r="AO4" s="12" t="s">
        <v>132</v>
      </c>
    </row>
    <row r="5" spans="1:41" s="3" customFormat="1" ht="23" customHeight="1" x14ac:dyDescent="0.35">
      <c r="B5" s="17" t="s">
        <v>176</v>
      </c>
      <c r="C5" s="30" t="s">
        <v>16</v>
      </c>
      <c r="D5" s="30" t="s">
        <v>8</v>
      </c>
      <c r="E5" s="30" t="s">
        <v>15</v>
      </c>
      <c r="F5" s="30" t="s">
        <v>19</v>
      </c>
      <c r="G5" s="30" t="s">
        <v>24</v>
      </c>
      <c r="H5" s="30" t="s">
        <v>6</v>
      </c>
      <c r="I5" s="30" t="s">
        <v>145</v>
      </c>
      <c r="J5" s="30"/>
      <c r="K5" s="30"/>
      <c r="L5" s="30"/>
      <c r="M5"/>
      <c r="N5" s="29"/>
      <c r="O5" s="29"/>
      <c r="P5" s="29"/>
      <c r="Q5" s="11"/>
      <c r="R5" s="11"/>
      <c r="S5" s="11"/>
      <c r="T5" s="29" t="s">
        <v>133</v>
      </c>
      <c r="U5"/>
      <c r="V5" s="30">
        <v>2</v>
      </c>
      <c r="W5" s="29"/>
      <c r="X5" s="29"/>
      <c r="Y5" s="29"/>
      <c r="Z5" s="11"/>
      <c r="AA5" s="11"/>
      <c r="AB5" s="11"/>
      <c r="AC5" s="29">
        <v>2</v>
      </c>
      <c r="AD5"/>
      <c r="AE5" s="30">
        <f t="shared" ref="AE5:AE36" ca="1" si="0">RAND()</f>
        <v>0.58960252976481287</v>
      </c>
      <c r="AF5" s="33"/>
      <c r="AG5" s="33"/>
      <c r="AH5" s="33"/>
      <c r="AI5" s="32"/>
      <c r="AJ5" s="32"/>
      <c r="AK5" s="32"/>
      <c r="AL5" s="29">
        <v>2</v>
      </c>
      <c r="AM5"/>
      <c r="AN5" s="30">
        <v>2</v>
      </c>
      <c r="AO5" s="12" t="s">
        <v>133</v>
      </c>
    </row>
    <row r="6" spans="1:41" s="3" customFormat="1" ht="22.25" customHeight="1" x14ac:dyDescent="0.35">
      <c r="B6" s="16" t="s">
        <v>149</v>
      </c>
      <c r="C6" s="34" t="s">
        <v>15</v>
      </c>
      <c r="D6" s="34" t="s">
        <v>5</v>
      </c>
      <c r="E6" s="34" t="s">
        <v>24</v>
      </c>
      <c r="F6" s="34" t="s">
        <v>11</v>
      </c>
      <c r="G6" s="34" t="s">
        <v>18</v>
      </c>
      <c r="H6" s="34" t="s">
        <v>21</v>
      </c>
      <c r="I6" s="34" t="s">
        <v>9</v>
      </c>
      <c r="J6" s="30"/>
      <c r="K6" s="34" t="str">
        <f>'Designações FDS ()'!J5</f>
        <v>Denis Pereira</v>
      </c>
      <c r="L6" s="34" t="str">
        <f>'Designações FDS ()'!K5</f>
        <v>JEAN LUCAS</v>
      </c>
      <c r="M6"/>
      <c r="N6" s="12"/>
      <c r="O6" s="12"/>
      <c r="P6" s="12"/>
      <c r="Q6" s="12"/>
      <c r="R6" s="12"/>
      <c r="S6" s="12"/>
      <c r="T6" s="29" t="s">
        <v>134</v>
      </c>
      <c r="U6"/>
      <c r="V6" s="30">
        <v>3</v>
      </c>
      <c r="W6" s="12"/>
      <c r="X6" s="12"/>
      <c r="Y6" s="12"/>
      <c r="Z6" s="12"/>
      <c r="AA6" s="12"/>
      <c r="AB6" s="12"/>
      <c r="AC6" s="29">
        <v>3</v>
      </c>
      <c r="AD6"/>
      <c r="AE6" s="30">
        <f t="shared" ca="1" si="0"/>
        <v>1.3228422140695306E-3</v>
      </c>
      <c r="AF6" s="31"/>
      <c r="AG6" s="31"/>
      <c r="AH6" s="31"/>
      <c r="AI6" s="31"/>
      <c r="AJ6" s="31"/>
      <c r="AK6" s="31"/>
      <c r="AL6" s="29">
        <v>3</v>
      </c>
      <c r="AM6"/>
      <c r="AN6" s="30">
        <v>3</v>
      </c>
      <c r="AO6" s="12" t="s">
        <v>134</v>
      </c>
    </row>
    <row r="7" spans="1:41" ht="22.25" customHeight="1" x14ac:dyDescent="0.35">
      <c r="A7" s="35"/>
      <c r="B7" s="17" t="s">
        <v>177</v>
      </c>
      <c r="C7" s="30" t="s">
        <v>17</v>
      </c>
      <c r="D7" s="30" t="s">
        <v>15</v>
      </c>
      <c r="E7" s="30" t="s">
        <v>18</v>
      </c>
      <c r="F7" s="30" t="s">
        <v>23</v>
      </c>
      <c r="G7" s="30" t="s">
        <v>22</v>
      </c>
      <c r="H7" s="30" t="s">
        <v>9</v>
      </c>
      <c r="I7" s="30" t="s">
        <v>20</v>
      </c>
      <c r="J7" s="30"/>
      <c r="K7" s="30"/>
      <c r="L7" s="30"/>
      <c r="N7" s="29"/>
      <c r="O7" s="29"/>
      <c r="P7" s="29"/>
      <c r="Q7" s="11"/>
      <c r="R7" s="11"/>
      <c r="S7" s="11"/>
      <c r="T7" s="29" t="s">
        <v>135</v>
      </c>
      <c r="V7" s="30">
        <v>4</v>
      </c>
      <c r="W7" s="29"/>
      <c r="X7" s="29"/>
      <c r="Y7" s="29"/>
      <c r="Z7" s="11"/>
      <c r="AA7" s="11"/>
      <c r="AB7" s="11"/>
      <c r="AC7" s="29">
        <v>4</v>
      </c>
      <c r="AE7" s="30">
        <f t="shared" ca="1" si="0"/>
        <v>6.4670599316793309E-2</v>
      </c>
      <c r="AF7" s="33"/>
      <c r="AG7" s="33"/>
      <c r="AH7" s="33"/>
      <c r="AI7" s="32"/>
      <c r="AJ7" s="32"/>
      <c r="AK7" s="32"/>
      <c r="AL7" s="29">
        <v>4</v>
      </c>
      <c r="AN7" s="30">
        <v>4</v>
      </c>
      <c r="AO7" s="12" t="s">
        <v>135</v>
      </c>
    </row>
    <row r="8" spans="1:41" s="3" customFormat="1" ht="22.25" customHeight="1" x14ac:dyDescent="0.35">
      <c r="A8" s="35"/>
      <c r="B8" s="16" t="s">
        <v>150</v>
      </c>
      <c r="C8" s="34" t="s">
        <v>14</v>
      </c>
      <c r="D8" s="34" t="s">
        <v>16</v>
      </c>
      <c r="E8" s="34" t="s">
        <v>22</v>
      </c>
      <c r="F8" s="34" t="s">
        <v>15</v>
      </c>
      <c r="G8" s="34" t="s">
        <v>7</v>
      </c>
      <c r="H8" s="34" t="s">
        <v>20</v>
      </c>
      <c r="I8" s="34" t="s">
        <v>21</v>
      </c>
      <c r="J8" s="30"/>
      <c r="K8" s="34" t="str">
        <f>'Designações FDS ()'!J7</f>
        <v>BRUNO REIS</v>
      </c>
      <c r="L8" s="34" t="str">
        <f>'Designações FDS ()'!K7</f>
        <v>LEONEL</v>
      </c>
      <c r="M8"/>
      <c r="N8" s="12"/>
      <c r="O8" s="12"/>
      <c r="P8" s="12"/>
      <c r="Q8" s="11"/>
      <c r="R8" s="11"/>
      <c r="S8" s="11"/>
      <c r="T8" s="29" t="s">
        <v>136</v>
      </c>
      <c r="U8"/>
      <c r="V8" s="30">
        <v>5</v>
      </c>
      <c r="W8" s="12"/>
      <c r="X8" s="12"/>
      <c r="Y8" s="12"/>
      <c r="Z8" s="11"/>
      <c r="AA8" s="11"/>
      <c r="AB8" s="11"/>
      <c r="AC8" s="29">
        <v>5</v>
      </c>
      <c r="AD8"/>
      <c r="AE8" s="30">
        <f t="shared" ca="1" si="0"/>
        <v>0.56634299819769107</v>
      </c>
      <c r="AF8" s="31"/>
      <c r="AG8" s="31"/>
      <c r="AH8" s="31"/>
      <c r="AI8" s="32"/>
      <c r="AJ8" s="32"/>
      <c r="AK8" s="32"/>
      <c r="AL8" s="29">
        <v>5</v>
      </c>
      <c r="AM8"/>
      <c r="AN8" s="30">
        <v>5</v>
      </c>
      <c r="AO8" s="12" t="s">
        <v>136</v>
      </c>
    </row>
    <row r="9" spans="1:41" ht="22.25" customHeight="1" x14ac:dyDescent="0.35">
      <c r="B9" s="17" t="s">
        <v>178</v>
      </c>
      <c r="C9" s="30" t="s">
        <v>10</v>
      </c>
      <c r="D9" s="30" t="s">
        <v>17</v>
      </c>
      <c r="E9" s="30" t="s">
        <v>7</v>
      </c>
      <c r="F9" s="30" t="s">
        <v>24</v>
      </c>
      <c r="G9" s="30" t="s">
        <v>14</v>
      </c>
      <c r="H9" s="30" t="s">
        <v>131</v>
      </c>
      <c r="I9" s="30" t="s">
        <v>145</v>
      </c>
      <c r="J9" s="30"/>
      <c r="K9" s="30"/>
      <c r="L9" s="30"/>
      <c r="N9" s="29"/>
      <c r="O9" s="29"/>
      <c r="P9" s="29"/>
      <c r="Q9" s="11"/>
      <c r="R9" s="11"/>
      <c r="S9" s="11"/>
      <c r="T9" s="29" t="s">
        <v>137</v>
      </c>
      <c r="V9" s="30">
        <v>6</v>
      </c>
      <c r="W9" s="29"/>
      <c r="X9" s="29"/>
      <c r="Y9" s="29"/>
      <c r="Z9" s="11"/>
      <c r="AA9" s="11"/>
      <c r="AB9" s="11"/>
      <c r="AC9" s="29">
        <v>6</v>
      </c>
      <c r="AE9" s="30">
        <f t="shared" ca="1" si="0"/>
        <v>0.56415250918276671</v>
      </c>
      <c r="AF9" s="33"/>
      <c r="AG9" s="33"/>
      <c r="AH9" s="33"/>
      <c r="AI9" s="32"/>
      <c r="AJ9" s="32"/>
      <c r="AK9" s="32"/>
      <c r="AL9" s="29">
        <v>6</v>
      </c>
      <c r="AN9" s="30">
        <v>6</v>
      </c>
      <c r="AO9" s="12" t="s">
        <v>137</v>
      </c>
    </row>
    <row r="10" spans="1:41" s="3" customFormat="1" ht="22.25" customHeight="1" x14ac:dyDescent="0.35">
      <c r="B10" s="16" t="s">
        <v>151</v>
      </c>
      <c r="C10" s="34" t="s">
        <v>19</v>
      </c>
      <c r="D10" s="34" t="s">
        <v>20</v>
      </c>
      <c r="E10" s="34" t="s">
        <v>16</v>
      </c>
      <c r="F10" s="34" t="s">
        <v>18</v>
      </c>
      <c r="G10" s="34" t="s">
        <v>10</v>
      </c>
      <c r="H10" s="34" t="s">
        <v>8</v>
      </c>
      <c r="I10" s="34" t="s">
        <v>6</v>
      </c>
      <c r="J10" s="30"/>
      <c r="K10" s="34" t="str">
        <f>'Designações FDS ()'!J9</f>
        <v>JEAN LUCAS</v>
      </c>
      <c r="L10" s="34" t="str">
        <f>'Designações FDS ()'!K9</f>
        <v>VÍTOR HUGO</v>
      </c>
      <c r="M10"/>
      <c r="N10" s="12"/>
      <c r="O10" s="12"/>
      <c r="P10" s="12"/>
      <c r="Q10" s="12"/>
      <c r="R10" s="12"/>
      <c r="S10" s="12"/>
      <c r="T10" s="29" t="s">
        <v>138</v>
      </c>
      <c r="U10"/>
      <c r="V10" s="30">
        <v>7</v>
      </c>
      <c r="W10" s="12"/>
      <c r="X10" s="12"/>
      <c r="Y10" s="12"/>
      <c r="Z10" s="12"/>
      <c r="AA10" s="12"/>
      <c r="AB10" s="12"/>
      <c r="AC10" s="29">
        <v>7</v>
      </c>
      <c r="AD10"/>
      <c r="AE10" s="30">
        <f t="shared" ca="1" si="0"/>
        <v>2.2907528051649084E-2</v>
      </c>
      <c r="AF10" s="31"/>
      <c r="AG10" s="31"/>
      <c r="AH10" s="31"/>
      <c r="AI10" s="31"/>
      <c r="AJ10" s="31"/>
      <c r="AK10" s="31"/>
      <c r="AL10" s="29">
        <v>7</v>
      </c>
      <c r="AM10"/>
      <c r="AN10" s="30">
        <v>7</v>
      </c>
      <c r="AO10" s="12" t="s">
        <v>138</v>
      </c>
    </row>
    <row r="11" spans="1:41" ht="22.25" customHeight="1" x14ac:dyDescent="0.35">
      <c r="A11" s="35"/>
      <c r="B11" s="17" t="s">
        <v>179</v>
      </c>
      <c r="C11" s="30" t="s">
        <v>7</v>
      </c>
      <c r="D11" s="30" t="s">
        <v>14</v>
      </c>
      <c r="E11" s="30" t="s">
        <v>10</v>
      </c>
      <c r="F11" s="30" t="s">
        <v>22</v>
      </c>
      <c r="G11" s="30" t="s">
        <v>16</v>
      </c>
      <c r="H11" s="30" t="s">
        <v>21</v>
      </c>
      <c r="I11" s="30" t="s">
        <v>9</v>
      </c>
      <c r="J11" s="30"/>
      <c r="K11" s="30"/>
      <c r="L11" s="30"/>
      <c r="N11" s="29"/>
      <c r="O11" s="29"/>
      <c r="P11" s="29"/>
      <c r="Q11" s="11"/>
      <c r="R11" s="11"/>
      <c r="S11" s="11"/>
      <c r="T11" s="29" t="s">
        <v>27</v>
      </c>
      <c r="V11" s="30">
        <v>8</v>
      </c>
      <c r="W11" s="29"/>
      <c r="X11" s="29"/>
      <c r="Y11" s="29"/>
      <c r="Z11" s="11"/>
      <c r="AA11" s="11"/>
      <c r="AB11" s="11"/>
      <c r="AC11" s="29">
        <v>8</v>
      </c>
      <c r="AE11" s="30">
        <f t="shared" ca="1" si="0"/>
        <v>0.87481092411120576</v>
      </c>
      <c r="AF11" s="33"/>
      <c r="AG11" s="33"/>
      <c r="AH11" s="33"/>
      <c r="AI11" s="32"/>
      <c r="AJ11" s="32"/>
      <c r="AK11" s="32"/>
      <c r="AL11" s="29">
        <v>8</v>
      </c>
      <c r="AN11" s="30">
        <v>8</v>
      </c>
      <c r="AO11" s="12" t="s">
        <v>27</v>
      </c>
    </row>
    <row r="12" spans="1:41" ht="22.25" customHeight="1" x14ac:dyDescent="0.35">
      <c r="A12" s="35"/>
      <c r="B12" s="16" t="s">
        <v>152</v>
      </c>
      <c r="C12" s="34" t="s">
        <v>18</v>
      </c>
      <c r="D12" s="34" t="s">
        <v>10</v>
      </c>
      <c r="E12" s="34" t="s">
        <v>14</v>
      </c>
      <c r="F12" s="34" t="s">
        <v>7</v>
      </c>
      <c r="G12" s="34" t="s">
        <v>17</v>
      </c>
      <c r="H12" s="34" t="s">
        <v>6</v>
      </c>
      <c r="I12" s="34" t="s">
        <v>131</v>
      </c>
      <c r="J12" s="30"/>
      <c r="K12" s="34" t="str">
        <f>'Designações FDS ()'!J11</f>
        <v>Vitor Medeiros</v>
      </c>
      <c r="L12" s="34" t="str">
        <f>'Designações FDS ()'!K11</f>
        <v>FRED PACHECO</v>
      </c>
      <c r="N12" s="29"/>
      <c r="O12" s="29"/>
      <c r="P12" s="29"/>
      <c r="Q12" s="29"/>
      <c r="R12" s="29"/>
      <c r="S12" s="29"/>
      <c r="T12" s="29" t="s">
        <v>139</v>
      </c>
      <c r="V12" s="30">
        <v>9</v>
      </c>
      <c r="W12" s="29"/>
      <c r="X12" s="29"/>
      <c r="Y12" s="29"/>
      <c r="Z12" s="29"/>
      <c r="AA12" s="29"/>
      <c r="AB12" s="29"/>
      <c r="AC12" s="29">
        <v>9</v>
      </c>
      <c r="AE12" s="30">
        <f t="shared" ca="1" si="0"/>
        <v>0.15021711438184282</v>
      </c>
      <c r="AF12" s="33"/>
      <c r="AG12" s="33"/>
      <c r="AH12" s="33"/>
      <c r="AI12" s="33"/>
      <c r="AJ12" s="33"/>
      <c r="AK12" s="33"/>
      <c r="AL12" s="29">
        <v>9</v>
      </c>
      <c r="AN12" s="30">
        <v>9</v>
      </c>
      <c r="AO12" s="12" t="s">
        <v>139</v>
      </c>
    </row>
    <row r="13" spans="1:41" s="3" customFormat="1" ht="22.25" customHeight="1" x14ac:dyDescent="0.35">
      <c r="B13" s="17" t="s">
        <v>180</v>
      </c>
      <c r="C13" s="30" t="s">
        <v>22</v>
      </c>
      <c r="D13" s="30" t="s">
        <v>19</v>
      </c>
      <c r="E13" s="30" t="s">
        <v>17</v>
      </c>
      <c r="F13" s="30" t="s">
        <v>16</v>
      </c>
      <c r="G13" s="30" t="s">
        <v>5</v>
      </c>
      <c r="H13" s="30" t="s">
        <v>145</v>
      </c>
      <c r="I13" s="30" t="s">
        <v>20</v>
      </c>
      <c r="J13" s="30"/>
      <c r="K13" s="30"/>
      <c r="L13" s="30"/>
      <c r="M13"/>
      <c r="N13" s="11"/>
      <c r="O13" s="12"/>
      <c r="P13" s="12"/>
      <c r="Q13" s="12"/>
      <c r="R13" s="12"/>
      <c r="S13" s="12"/>
      <c r="T13" s="29" t="s">
        <v>140</v>
      </c>
      <c r="U13"/>
      <c r="V13" s="30">
        <v>10</v>
      </c>
      <c r="W13" s="11"/>
      <c r="X13" s="12"/>
      <c r="Y13" s="12"/>
      <c r="Z13" s="12"/>
      <c r="AA13" s="12"/>
      <c r="AB13" s="12"/>
      <c r="AC13" s="29">
        <v>10</v>
      </c>
      <c r="AD13"/>
      <c r="AE13" s="30">
        <f t="shared" ca="1" si="0"/>
        <v>0.19379174795164078</v>
      </c>
      <c r="AF13" s="32"/>
      <c r="AG13" s="31"/>
      <c r="AH13" s="31"/>
      <c r="AI13" s="31"/>
      <c r="AJ13" s="31"/>
      <c r="AK13" s="31"/>
      <c r="AL13" s="29">
        <v>10</v>
      </c>
      <c r="AM13"/>
      <c r="AN13" s="30">
        <v>10</v>
      </c>
      <c r="AO13" s="12" t="s">
        <v>140</v>
      </c>
    </row>
    <row r="14" spans="1:41" ht="22.25" customHeight="1" x14ac:dyDescent="0.35">
      <c r="B14" s="16" t="s">
        <v>153</v>
      </c>
      <c r="C14" s="34" t="s">
        <v>18</v>
      </c>
      <c r="D14" s="34" t="s">
        <v>145</v>
      </c>
      <c r="E14" s="34" t="s">
        <v>5</v>
      </c>
      <c r="F14" s="34" t="s">
        <v>10</v>
      </c>
      <c r="G14" s="34" t="s">
        <v>19</v>
      </c>
      <c r="H14" s="34" t="s">
        <v>189</v>
      </c>
      <c r="I14" s="34" t="s">
        <v>8</v>
      </c>
      <c r="J14" s="30"/>
      <c r="K14" s="34" t="str">
        <f>'Designações FDS ()'!J13</f>
        <v>José Jhosef</v>
      </c>
      <c r="L14" s="34" t="str">
        <f>'Designações FDS ()'!K13</f>
        <v>DENILSON</v>
      </c>
      <c r="N14" s="11"/>
      <c r="O14" s="12"/>
      <c r="P14" s="12"/>
      <c r="Q14" s="11"/>
      <c r="R14" s="11"/>
      <c r="S14" s="11"/>
      <c r="T14" s="29" t="s">
        <v>141</v>
      </c>
      <c r="V14" s="30">
        <v>11</v>
      </c>
      <c r="W14" s="11"/>
      <c r="X14" s="12"/>
      <c r="Y14" s="12"/>
      <c r="Z14" s="11"/>
      <c r="AA14" s="11"/>
      <c r="AB14" s="11"/>
      <c r="AC14" s="29">
        <v>11</v>
      </c>
      <c r="AE14" s="30">
        <f t="shared" ca="1" si="0"/>
        <v>0.36063553425150308</v>
      </c>
      <c r="AF14" s="32"/>
      <c r="AG14" s="31"/>
      <c r="AH14" s="31"/>
      <c r="AI14" s="32"/>
      <c r="AJ14" s="32"/>
      <c r="AK14" s="32"/>
      <c r="AL14" s="29">
        <v>11</v>
      </c>
      <c r="AN14" s="30">
        <v>11</v>
      </c>
      <c r="AO14" s="12" t="s">
        <v>141</v>
      </c>
    </row>
    <row r="15" spans="1:41" s="3" customFormat="1" ht="22.25" customHeight="1" x14ac:dyDescent="0.35">
      <c r="A15" s="35"/>
      <c r="B15" s="17" t="s">
        <v>181</v>
      </c>
      <c r="C15" s="30" t="s">
        <v>7</v>
      </c>
      <c r="D15" s="30" t="s">
        <v>6</v>
      </c>
      <c r="E15" s="30" t="s">
        <v>19</v>
      </c>
      <c r="F15" s="30" t="s">
        <v>14</v>
      </c>
      <c r="G15" s="30" t="s">
        <v>11</v>
      </c>
      <c r="H15" s="30" t="s">
        <v>9</v>
      </c>
      <c r="I15" s="30" t="s">
        <v>21</v>
      </c>
      <c r="J15" s="30"/>
      <c r="K15" s="30"/>
      <c r="L15" s="30"/>
      <c r="M15"/>
      <c r="N15" s="11"/>
      <c r="O15" s="12"/>
      <c r="P15" s="12"/>
      <c r="Q15" s="11"/>
      <c r="R15" s="11"/>
      <c r="S15" s="11"/>
      <c r="T15" s="29" t="s">
        <v>142</v>
      </c>
      <c r="U15"/>
      <c r="V15" s="30">
        <v>12</v>
      </c>
      <c r="W15" s="11"/>
      <c r="X15" s="12"/>
      <c r="Y15" s="12"/>
      <c r="Z15" s="11"/>
      <c r="AA15" s="11"/>
      <c r="AB15" s="11"/>
      <c r="AC15" s="29">
        <v>12</v>
      </c>
      <c r="AD15"/>
      <c r="AE15" s="30">
        <f t="shared" ca="1" si="0"/>
        <v>0.36070270291091611</v>
      </c>
      <c r="AF15" s="32"/>
      <c r="AG15" s="31"/>
      <c r="AH15" s="31"/>
      <c r="AI15" s="32"/>
      <c r="AJ15" s="32"/>
      <c r="AK15" s="32"/>
      <c r="AL15" s="29">
        <v>12</v>
      </c>
      <c r="AM15"/>
      <c r="AN15" s="30">
        <v>12</v>
      </c>
      <c r="AO15" s="12" t="s">
        <v>142</v>
      </c>
    </row>
    <row r="16" spans="1:41" ht="21.65" customHeight="1" x14ac:dyDescent="0.35">
      <c r="A16" s="35"/>
      <c r="B16" s="16" t="s">
        <v>154</v>
      </c>
      <c r="C16" s="34" t="s">
        <v>22</v>
      </c>
      <c r="D16" s="34" t="s">
        <v>21</v>
      </c>
      <c r="E16" s="34" t="s">
        <v>11</v>
      </c>
      <c r="F16" s="34" t="s">
        <v>17</v>
      </c>
      <c r="G16" s="34" t="s">
        <v>15</v>
      </c>
      <c r="H16" s="34" t="s">
        <v>20</v>
      </c>
      <c r="I16" s="34" t="s">
        <v>6</v>
      </c>
      <c r="J16" s="30"/>
      <c r="K16" s="34" t="str">
        <f>'Designações FDS ()'!J15</f>
        <v>Fabrício Félix</v>
      </c>
      <c r="L16" s="34" t="str">
        <f>'Designações FDS ()'!K15</f>
        <v>BRUNO REIS</v>
      </c>
      <c r="N16" s="11"/>
      <c r="O16" s="12"/>
      <c r="P16" s="12"/>
      <c r="Q16" s="11"/>
      <c r="R16" s="11"/>
      <c r="S16" s="11"/>
      <c r="T16" s="29" t="s">
        <v>143</v>
      </c>
      <c r="V16" s="30">
        <v>13</v>
      </c>
      <c r="W16" s="11"/>
      <c r="X16" s="12"/>
      <c r="Y16" s="12"/>
      <c r="Z16" s="11"/>
      <c r="AA16" s="11"/>
      <c r="AB16" s="11"/>
      <c r="AC16" s="29">
        <v>13</v>
      </c>
      <c r="AE16" s="30">
        <f t="shared" ca="1" si="0"/>
        <v>0.40445563345769941</v>
      </c>
      <c r="AF16" s="32"/>
      <c r="AG16" s="31"/>
      <c r="AH16" s="31"/>
      <c r="AI16" s="32"/>
      <c r="AJ16" s="32"/>
      <c r="AK16" s="32"/>
      <c r="AL16" s="29">
        <v>13</v>
      </c>
      <c r="AN16" s="30">
        <v>13</v>
      </c>
      <c r="AO16" s="12" t="s">
        <v>143</v>
      </c>
    </row>
    <row r="17" spans="1:41" ht="20" customHeight="1" x14ac:dyDescent="0.35">
      <c r="B17" s="17" t="s">
        <v>182</v>
      </c>
      <c r="C17" s="30" t="s">
        <v>16</v>
      </c>
      <c r="D17" s="30" t="s">
        <v>18</v>
      </c>
      <c r="E17" s="30" t="s">
        <v>23</v>
      </c>
      <c r="F17" s="30" t="s">
        <v>5</v>
      </c>
      <c r="G17" s="30" t="s">
        <v>24</v>
      </c>
      <c r="H17" s="30" t="s">
        <v>15</v>
      </c>
      <c r="I17" s="30" t="s">
        <v>145</v>
      </c>
      <c r="J17" s="30"/>
      <c r="K17" s="30"/>
      <c r="L17" s="30"/>
      <c r="N17" s="12" t="s">
        <v>21</v>
      </c>
      <c r="O17" s="11" t="s">
        <v>21</v>
      </c>
      <c r="P17" s="11" t="s">
        <v>21</v>
      </c>
      <c r="Q17" s="11" t="s">
        <v>21</v>
      </c>
      <c r="R17" s="11" t="s">
        <v>21</v>
      </c>
      <c r="S17" s="11" t="s">
        <v>21</v>
      </c>
      <c r="T17" s="12" t="s">
        <v>21</v>
      </c>
      <c r="V17" s="30">
        <v>14</v>
      </c>
      <c r="W17" s="11">
        <v>14</v>
      </c>
      <c r="X17" s="11">
        <v>14</v>
      </c>
      <c r="Y17" s="11">
        <v>14</v>
      </c>
      <c r="Z17" s="11">
        <v>14</v>
      </c>
      <c r="AA17" s="11">
        <v>14</v>
      </c>
      <c r="AB17" s="11">
        <v>14</v>
      </c>
      <c r="AC17" s="12">
        <v>14</v>
      </c>
      <c r="AE17" s="30">
        <f t="shared" ca="1" si="0"/>
        <v>0.68304795433749943</v>
      </c>
      <c r="AF17" s="11">
        <v>14</v>
      </c>
      <c r="AG17" s="11">
        <v>14</v>
      </c>
      <c r="AH17" s="11">
        <v>14</v>
      </c>
      <c r="AI17" s="11">
        <v>14</v>
      </c>
      <c r="AJ17" s="11">
        <v>14</v>
      </c>
      <c r="AK17" s="11">
        <v>14</v>
      </c>
      <c r="AL17" s="12">
        <v>14</v>
      </c>
      <c r="AN17" s="30">
        <v>14</v>
      </c>
      <c r="AO17" s="12" t="s">
        <v>21</v>
      </c>
    </row>
    <row r="18" spans="1:41" ht="22.25" customHeight="1" x14ac:dyDescent="0.35">
      <c r="B18" s="16" t="s">
        <v>155</v>
      </c>
      <c r="C18" s="34" t="s">
        <v>5</v>
      </c>
      <c r="D18" s="34" t="s">
        <v>7</v>
      </c>
      <c r="E18" s="34" t="s">
        <v>10</v>
      </c>
      <c r="F18" s="34" t="s">
        <v>15</v>
      </c>
      <c r="G18" s="34" t="s">
        <v>18</v>
      </c>
      <c r="H18" s="34" t="s">
        <v>131</v>
      </c>
      <c r="I18" s="34" t="s">
        <v>9</v>
      </c>
      <c r="J18" s="30"/>
      <c r="K18" s="34" t="str">
        <f>'Designações FDS ()'!J17</f>
        <v>Maurício Bello</v>
      </c>
      <c r="L18" s="34" t="str">
        <f>'Designações FDS ()'!K17</f>
        <v>JOÃO CARLOS</v>
      </c>
      <c r="N18" s="12" t="s">
        <v>9</v>
      </c>
      <c r="O18" s="11" t="s">
        <v>9</v>
      </c>
      <c r="P18" s="11" t="s">
        <v>9</v>
      </c>
      <c r="Q18" s="11" t="s">
        <v>9</v>
      </c>
      <c r="R18" s="11" t="s">
        <v>9</v>
      </c>
      <c r="S18" s="11" t="s">
        <v>9</v>
      </c>
      <c r="T18" s="12" t="s">
        <v>9</v>
      </c>
      <c r="V18" s="30">
        <v>15</v>
      </c>
      <c r="W18" s="11">
        <v>15</v>
      </c>
      <c r="X18" s="11">
        <v>15</v>
      </c>
      <c r="Y18" s="11">
        <v>15</v>
      </c>
      <c r="Z18" s="11">
        <v>15</v>
      </c>
      <c r="AA18" s="11">
        <v>15</v>
      </c>
      <c r="AB18" s="11">
        <v>15</v>
      </c>
      <c r="AC18" s="12">
        <v>15</v>
      </c>
      <c r="AE18" s="30">
        <f t="shared" ca="1" si="0"/>
        <v>0.17036493215480264</v>
      </c>
      <c r="AF18" s="11">
        <v>15</v>
      </c>
      <c r="AG18" s="11">
        <v>15</v>
      </c>
      <c r="AH18" s="11">
        <v>15</v>
      </c>
      <c r="AI18" s="11">
        <v>15</v>
      </c>
      <c r="AJ18" s="11">
        <v>15</v>
      </c>
      <c r="AK18" s="11">
        <v>15</v>
      </c>
      <c r="AL18" s="12">
        <v>15</v>
      </c>
      <c r="AN18" s="30">
        <v>15</v>
      </c>
      <c r="AO18" s="12" t="s">
        <v>9</v>
      </c>
    </row>
    <row r="19" spans="1:41" ht="20.399999999999999" customHeight="1" x14ac:dyDescent="0.35">
      <c r="A19" s="35"/>
      <c r="B19" s="17" t="s">
        <v>183</v>
      </c>
      <c r="C19" s="30" t="s">
        <v>15</v>
      </c>
      <c r="D19" s="30" t="s">
        <v>6</v>
      </c>
      <c r="E19" s="30" t="s">
        <v>14</v>
      </c>
      <c r="F19" s="30" t="s">
        <v>24</v>
      </c>
      <c r="G19" s="30" t="s">
        <v>22</v>
      </c>
      <c r="H19" s="30" t="s">
        <v>8</v>
      </c>
      <c r="I19" s="30" t="s">
        <v>20</v>
      </c>
      <c r="J19" s="30"/>
      <c r="K19" s="30"/>
      <c r="L19" s="30"/>
      <c r="N19" s="29" t="s">
        <v>145</v>
      </c>
      <c r="O19" s="29" t="s">
        <v>145</v>
      </c>
      <c r="P19" s="29" t="s">
        <v>145</v>
      </c>
      <c r="Q19" s="11" t="s">
        <v>145</v>
      </c>
      <c r="R19" s="11" t="s">
        <v>145</v>
      </c>
      <c r="S19" s="29" t="s">
        <v>145</v>
      </c>
      <c r="T19" s="12" t="s">
        <v>145</v>
      </c>
      <c r="V19" s="30">
        <v>16</v>
      </c>
      <c r="W19" s="29">
        <v>16</v>
      </c>
      <c r="X19" s="29">
        <v>16</v>
      </c>
      <c r="Y19" s="29">
        <v>16</v>
      </c>
      <c r="Z19" s="29">
        <v>16</v>
      </c>
      <c r="AA19" s="29">
        <v>16</v>
      </c>
      <c r="AB19" s="29">
        <v>16</v>
      </c>
      <c r="AC19" s="12">
        <v>16</v>
      </c>
      <c r="AE19" s="30">
        <f t="shared" ca="1" si="0"/>
        <v>0.77155534274622173</v>
      </c>
      <c r="AF19" s="29">
        <v>16</v>
      </c>
      <c r="AG19" s="29">
        <v>16</v>
      </c>
      <c r="AH19" s="29">
        <v>16</v>
      </c>
      <c r="AI19" s="29">
        <v>16</v>
      </c>
      <c r="AJ19" s="29">
        <v>16</v>
      </c>
      <c r="AK19" s="29">
        <v>16</v>
      </c>
      <c r="AL19" s="12">
        <v>16</v>
      </c>
      <c r="AN19" s="30">
        <v>16</v>
      </c>
      <c r="AO19" s="12" t="s">
        <v>145</v>
      </c>
    </row>
    <row r="20" spans="1:41" ht="20.399999999999999" customHeight="1" x14ac:dyDescent="0.35">
      <c r="A20" s="35"/>
      <c r="B20" s="16" t="s">
        <v>156</v>
      </c>
      <c r="C20" s="34" t="s">
        <v>17</v>
      </c>
      <c r="D20" s="34" t="s">
        <v>21</v>
      </c>
      <c r="E20" s="34" t="s">
        <v>5</v>
      </c>
      <c r="F20" s="34" t="s">
        <v>18</v>
      </c>
      <c r="G20" s="34" t="s">
        <v>7</v>
      </c>
      <c r="H20" s="34" t="s">
        <v>6</v>
      </c>
      <c r="I20" s="34" t="s">
        <v>131</v>
      </c>
      <c r="J20" s="30"/>
      <c r="K20" s="34" t="str">
        <f>'Designações FDS ()'!J19</f>
        <v>Leonildo Jr.</v>
      </c>
      <c r="L20" s="34" t="str">
        <f>'Designações FDS ()'!K19</f>
        <v>JEAN LUCAS</v>
      </c>
      <c r="N20" s="12" t="s">
        <v>18</v>
      </c>
      <c r="O20" s="11" t="s">
        <v>18</v>
      </c>
      <c r="P20" s="11" t="s">
        <v>18</v>
      </c>
      <c r="Q20" s="11"/>
      <c r="R20" s="11"/>
      <c r="S20" s="29" t="s">
        <v>18</v>
      </c>
      <c r="T20" s="29" t="s">
        <v>18</v>
      </c>
      <c r="V20" s="30">
        <v>17</v>
      </c>
      <c r="W20" s="11">
        <v>17</v>
      </c>
      <c r="X20" s="11">
        <v>17</v>
      </c>
      <c r="Y20" s="11">
        <v>17</v>
      </c>
      <c r="Z20" s="11"/>
      <c r="AA20" s="11"/>
      <c r="AB20" s="29">
        <v>17</v>
      </c>
      <c r="AC20" s="29">
        <v>17</v>
      </c>
      <c r="AE20" s="30">
        <f t="shared" ca="1" si="0"/>
        <v>0.13909111175661792</v>
      </c>
      <c r="AF20" s="11">
        <v>17</v>
      </c>
      <c r="AG20" s="11">
        <v>17</v>
      </c>
      <c r="AH20" s="11">
        <v>17</v>
      </c>
      <c r="AI20" s="32"/>
      <c r="AJ20" s="32"/>
      <c r="AK20" s="29">
        <v>17</v>
      </c>
      <c r="AL20" s="29">
        <v>17</v>
      </c>
      <c r="AN20" s="30">
        <v>17</v>
      </c>
      <c r="AO20" s="12" t="s">
        <v>18</v>
      </c>
    </row>
    <row r="21" spans="1:41" ht="21.65" customHeight="1" x14ac:dyDescent="0.35">
      <c r="B21" s="17" t="s">
        <v>184</v>
      </c>
      <c r="C21" s="30" t="s">
        <v>14</v>
      </c>
      <c r="D21" s="30" t="s">
        <v>18</v>
      </c>
      <c r="E21" s="30" t="s">
        <v>17</v>
      </c>
      <c r="F21" s="30" t="s">
        <v>22</v>
      </c>
      <c r="G21" s="30" t="s">
        <v>10</v>
      </c>
      <c r="H21" s="30" t="s">
        <v>21</v>
      </c>
      <c r="I21" s="30" t="s">
        <v>8</v>
      </c>
      <c r="J21" s="30"/>
      <c r="K21" s="30"/>
      <c r="L21" s="30"/>
      <c r="N21" s="12" t="s">
        <v>6</v>
      </c>
      <c r="O21" s="11" t="s">
        <v>6</v>
      </c>
      <c r="P21" s="11" t="s">
        <v>6</v>
      </c>
      <c r="Q21" s="11" t="s">
        <v>6</v>
      </c>
      <c r="R21" s="11" t="s">
        <v>6</v>
      </c>
      <c r="S21" s="11"/>
      <c r="T21" s="12" t="s">
        <v>6</v>
      </c>
      <c r="V21" s="30">
        <v>18</v>
      </c>
      <c r="W21" s="11">
        <v>18</v>
      </c>
      <c r="X21" s="11">
        <v>18</v>
      </c>
      <c r="Y21" s="11">
        <v>18</v>
      </c>
      <c r="Z21" s="11">
        <v>18</v>
      </c>
      <c r="AA21" s="11">
        <v>18</v>
      </c>
      <c r="AB21" s="11"/>
      <c r="AC21" s="12">
        <v>18</v>
      </c>
      <c r="AE21" s="30">
        <f t="shared" ca="1" si="0"/>
        <v>0.43459133599929345</v>
      </c>
      <c r="AF21" s="11">
        <v>18</v>
      </c>
      <c r="AG21" s="11">
        <v>18</v>
      </c>
      <c r="AH21" s="11">
        <v>18</v>
      </c>
      <c r="AI21" s="11">
        <v>18</v>
      </c>
      <c r="AJ21" s="11">
        <v>18</v>
      </c>
      <c r="AK21" s="32"/>
      <c r="AL21" s="12">
        <v>18</v>
      </c>
      <c r="AN21" s="30">
        <v>18</v>
      </c>
      <c r="AO21" s="12" t="s">
        <v>6</v>
      </c>
    </row>
    <row r="22" spans="1:41" ht="21" customHeight="1" x14ac:dyDescent="0.35">
      <c r="B22" s="16" t="s">
        <v>157</v>
      </c>
      <c r="C22" s="34" t="s">
        <v>10</v>
      </c>
      <c r="D22" s="34" t="s">
        <v>7</v>
      </c>
      <c r="E22" s="34" t="s">
        <v>19</v>
      </c>
      <c r="F22" s="34" t="s">
        <v>14</v>
      </c>
      <c r="G22" s="34" t="s">
        <v>16</v>
      </c>
      <c r="H22" s="34" t="s">
        <v>145</v>
      </c>
      <c r="I22" s="34" t="s">
        <v>21</v>
      </c>
      <c r="J22" s="30"/>
      <c r="K22" s="34" t="str">
        <f>'Designações FDS ()'!J21</f>
        <v>Adão Pereira</v>
      </c>
      <c r="L22" s="34" t="str">
        <f>'Designações FDS ()'!K21</f>
        <v>LEONEL</v>
      </c>
      <c r="N22" s="12" t="s">
        <v>22</v>
      </c>
      <c r="O22" s="12" t="s">
        <v>22</v>
      </c>
      <c r="P22" s="12" t="s">
        <v>22</v>
      </c>
      <c r="Q22" s="12"/>
      <c r="R22" s="12"/>
      <c r="S22" s="12"/>
      <c r="T22" s="12" t="s">
        <v>22</v>
      </c>
      <c r="V22" s="30">
        <v>19</v>
      </c>
      <c r="W22" s="12">
        <v>19</v>
      </c>
      <c r="X22" s="12">
        <v>19</v>
      </c>
      <c r="Y22" s="12">
        <v>19</v>
      </c>
      <c r="Z22" s="12"/>
      <c r="AA22" s="12"/>
      <c r="AB22" s="12"/>
      <c r="AC22" s="12">
        <v>19</v>
      </c>
      <c r="AE22" s="30">
        <f t="shared" ca="1" si="0"/>
        <v>0.38161132289022504</v>
      </c>
      <c r="AF22" s="12">
        <v>19</v>
      </c>
      <c r="AG22" s="12">
        <v>19</v>
      </c>
      <c r="AH22" s="12">
        <v>19</v>
      </c>
      <c r="AI22" s="31"/>
      <c r="AJ22" s="31"/>
      <c r="AK22" s="31"/>
      <c r="AL22" s="12">
        <v>19</v>
      </c>
      <c r="AN22" s="30">
        <v>19</v>
      </c>
      <c r="AO22" s="12" t="s">
        <v>22</v>
      </c>
    </row>
    <row r="23" spans="1:41" ht="20" customHeight="1" x14ac:dyDescent="0.35">
      <c r="A23" s="35"/>
      <c r="B23" s="17" t="s">
        <v>185</v>
      </c>
      <c r="C23" s="30" t="s">
        <v>19</v>
      </c>
      <c r="D23" s="30" t="s">
        <v>22</v>
      </c>
      <c r="E23" s="30" t="s">
        <v>11</v>
      </c>
      <c r="F23" s="30" t="s">
        <v>16</v>
      </c>
      <c r="G23" s="30" t="s">
        <v>14</v>
      </c>
      <c r="H23" s="30" t="s">
        <v>9</v>
      </c>
      <c r="I23" s="30" t="s">
        <v>6</v>
      </c>
      <c r="J23" s="30"/>
      <c r="K23" s="30"/>
      <c r="L23" s="30"/>
      <c r="N23" s="12" t="s">
        <v>7</v>
      </c>
      <c r="O23" s="11" t="s">
        <v>7</v>
      </c>
      <c r="P23" s="11" t="s">
        <v>7</v>
      </c>
      <c r="Q23" s="11"/>
      <c r="R23" s="11"/>
      <c r="S23" s="11"/>
      <c r="T23" s="29" t="s">
        <v>144</v>
      </c>
      <c r="V23" s="30">
        <v>20</v>
      </c>
      <c r="W23" s="11">
        <v>20</v>
      </c>
      <c r="X23" s="11">
        <v>20</v>
      </c>
      <c r="Y23" s="11">
        <v>20</v>
      </c>
      <c r="Z23" s="11"/>
      <c r="AA23" s="11"/>
      <c r="AB23" s="11"/>
      <c r="AC23" s="29">
        <v>20</v>
      </c>
      <c r="AE23" s="30">
        <f t="shared" ca="1" si="0"/>
        <v>0.44860967764170667</v>
      </c>
      <c r="AF23" s="11">
        <v>20</v>
      </c>
      <c r="AG23" s="11">
        <v>20</v>
      </c>
      <c r="AH23" s="11">
        <v>20</v>
      </c>
      <c r="AI23" s="32"/>
      <c r="AJ23" s="32"/>
      <c r="AK23" s="32"/>
      <c r="AL23" s="29">
        <v>20</v>
      </c>
      <c r="AN23" s="30">
        <v>20</v>
      </c>
      <c r="AO23" s="12" t="s">
        <v>144</v>
      </c>
    </row>
    <row r="24" spans="1:41" ht="20.149999999999999" customHeight="1" x14ac:dyDescent="0.35">
      <c r="A24" s="35"/>
      <c r="B24" s="16" t="s">
        <v>158</v>
      </c>
      <c r="C24" s="34" t="s">
        <v>5</v>
      </c>
      <c r="D24" s="34" t="s">
        <v>8</v>
      </c>
      <c r="E24" s="34" t="s">
        <v>23</v>
      </c>
      <c r="F24" s="34" t="s">
        <v>10</v>
      </c>
      <c r="G24" s="34" t="s">
        <v>17</v>
      </c>
      <c r="H24" s="34" t="s">
        <v>24</v>
      </c>
      <c r="I24" s="34" t="s">
        <v>145</v>
      </c>
      <c r="J24" s="30"/>
      <c r="K24" s="34" t="str">
        <f>'Designações FDS ()'!J23</f>
        <v>Tércio Almeida</v>
      </c>
      <c r="L24" s="34" t="str">
        <f>'Designações FDS ()'!K23</f>
        <v>VÍTOR HUGO</v>
      </c>
      <c r="N24" s="12" t="s">
        <v>16</v>
      </c>
      <c r="O24" s="11" t="s">
        <v>16</v>
      </c>
      <c r="P24" s="11" t="s">
        <v>16</v>
      </c>
      <c r="Q24" s="11"/>
      <c r="R24" s="11"/>
      <c r="S24" s="11"/>
      <c r="T24" s="29" t="s">
        <v>16</v>
      </c>
      <c r="V24" s="30">
        <v>21</v>
      </c>
      <c r="W24" s="11">
        <v>21</v>
      </c>
      <c r="X24" s="11">
        <v>21</v>
      </c>
      <c r="Y24" s="11">
        <v>21</v>
      </c>
      <c r="Z24" s="11"/>
      <c r="AA24" s="11"/>
      <c r="AB24" s="11"/>
      <c r="AC24" s="29">
        <v>21</v>
      </c>
      <c r="AE24" s="30">
        <f t="shared" ca="1" si="0"/>
        <v>0.93982390682587291</v>
      </c>
      <c r="AF24" s="11">
        <v>21</v>
      </c>
      <c r="AG24" s="11">
        <v>21</v>
      </c>
      <c r="AH24" s="11">
        <v>21</v>
      </c>
      <c r="AI24" s="32"/>
      <c r="AJ24" s="32"/>
      <c r="AK24" s="32"/>
      <c r="AL24" s="29">
        <v>21</v>
      </c>
      <c r="AN24" s="30">
        <v>21</v>
      </c>
      <c r="AO24" s="12" t="s">
        <v>16</v>
      </c>
    </row>
    <row r="25" spans="1:41" ht="20.149999999999999" customHeight="1" x14ac:dyDescent="0.35">
      <c r="B25" s="17" t="s">
        <v>186</v>
      </c>
      <c r="C25" s="30" t="s">
        <v>16</v>
      </c>
      <c r="D25" s="30" t="s">
        <v>5</v>
      </c>
      <c r="E25" s="30" t="s">
        <v>18</v>
      </c>
      <c r="F25" s="30" t="s">
        <v>7</v>
      </c>
      <c r="G25" s="30" t="s">
        <v>15</v>
      </c>
      <c r="H25" s="30" t="s">
        <v>20</v>
      </c>
      <c r="I25" s="30" t="s">
        <v>9</v>
      </c>
      <c r="J25" s="30"/>
      <c r="K25" s="30"/>
      <c r="L25" s="30"/>
      <c r="N25" s="12" t="s">
        <v>10</v>
      </c>
      <c r="O25" s="11" t="s">
        <v>10</v>
      </c>
      <c r="P25" s="11" t="s">
        <v>10</v>
      </c>
      <c r="Q25" s="11"/>
      <c r="R25" s="11"/>
      <c r="S25" s="11"/>
      <c r="T25" s="12"/>
      <c r="V25" s="30">
        <v>22</v>
      </c>
      <c r="W25" s="11">
        <v>22</v>
      </c>
      <c r="X25" s="11">
        <v>22</v>
      </c>
      <c r="Y25" s="11">
        <v>22</v>
      </c>
      <c r="Z25" s="11"/>
      <c r="AA25" s="11"/>
      <c r="AB25" s="11"/>
      <c r="AC25" s="12"/>
      <c r="AE25" s="30">
        <f t="shared" ca="1" si="0"/>
        <v>0.35482261981489571</v>
      </c>
      <c r="AF25" s="11">
        <v>22</v>
      </c>
      <c r="AG25" s="11">
        <v>22</v>
      </c>
      <c r="AH25" s="11">
        <v>22</v>
      </c>
      <c r="AI25" s="32"/>
      <c r="AJ25" s="32"/>
      <c r="AK25" s="32"/>
      <c r="AL25" s="31"/>
      <c r="AN25" s="30">
        <v>22</v>
      </c>
      <c r="AO25" s="12" t="s">
        <v>10</v>
      </c>
    </row>
    <row r="26" spans="1:41" ht="20.149999999999999" customHeight="1" x14ac:dyDescent="0.35">
      <c r="B26" s="16" t="s">
        <v>159</v>
      </c>
      <c r="C26" s="34" t="s">
        <v>10</v>
      </c>
      <c r="D26" s="34" t="s">
        <v>16</v>
      </c>
      <c r="E26" s="34" t="s">
        <v>24</v>
      </c>
      <c r="F26" s="34" t="s">
        <v>17</v>
      </c>
      <c r="G26" s="34" t="s">
        <v>19</v>
      </c>
      <c r="H26" s="34" t="s">
        <v>15</v>
      </c>
      <c r="I26" s="34" t="s">
        <v>21</v>
      </c>
      <c r="J26" s="30"/>
      <c r="K26" s="34" t="str">
        <f>'Designações FDS ()'!J25</f>
        <v>Eduardo Cato</v>
      </c>
      <c r="L26" s="34" t="str">
        <f>'Designações FDS ()'!K25</f>
        <v>FRED PACHECO</v>
      </c>
      <c r="N26" s="12" t="s">
        <v>20</v>
      </c>
      <c r="O26" s="11" t="s">
        <v>20</v>
      </c>
      <c r="P26" s="11" t="s">
        <v>20</v>
      </c>
      <c r="Q26" s="11" t="s">
        <v>20</v>
      </c>
      <c r="R26" s="11" t="s">
        <v>20</v>
      </c>
      <c r="S26" s="11" t="s">
        <v>20</v>
      </c>
      <c r="T26" s="12"/>
      <c r="V26" s="30">
        <v>23</v>
      </c>
      <c r="W26" s="11">
        <v>23</v>
      </c>
      <c r="X26" s="11">
        <v>23</v>
      </c>
      <c r="Y26" s="11">
        <v>23</v>
      </c>
      <c r="Z26" s="11">
        <v>23</v>
      </c>
      <c r="AA26" s="11">
        <v>23</v>
      </c>
      <c r="AB26" s="11">
        <v>23</v>
      </c>
      <c r="AC26" s="12"/>
      <c r="AE26" s="30">
        <f t="shared" ca="1" si="0"/>
        <v>0.30820465080726112</v>
      </c>
      <c r="AF26" s="11">
        <v>23</v>
      </c>
      <c r="AG26" s="11">
        <v>23</v>
      </c>
      <c r="AH26" s="11">
        <v>23</v>
      </c>
      <c r="AI26" s="11">
        <v>23</v>
      </c>
      <c r="AJ26" s="11">
        <v>23</v>
      </c>
      <c r="AK26" s="11">
        <v>23</v>
      </c>
      <c r="AL26" s="31"/>
      <c r="AN26" s="30">
        <v>23</v>
      </c>
      <c r="AO26" s="12" t="s">
        <v>20</v>
      </c>
    </row>
    <row r="27" spans="1:41" ht="20.149999999999999" customHeight="1" x14ac:dyDescent="0.35">
      <c r="A27" s="35"/>
      <c r="B27" s="17" t="s">
        <v>187</v>
      </c>
      <c r="C27" s="30" t="s">
        <v>17</v>
      </c>
      <c r="D27" s="30" t="s">
        <v>9</v>
      </c>
      <c r="E27" s="30" t="s">
        <v>15</v>
      </c>
      <c r="F27" s="30" t="s">
        <v>5</v>
      </c>
      <c r="G27" s="30" t="s">
        <v>11</v>
      </c>
      <c r="H27" s="30" t="s">
        <v>131</v>
      </c>
      <c r="I27" s="30" t="s">
        <v>20</v>
      </c>
      <c r="J27" s="30"/>
      <c r="K27" s="30"/>
      <c r="L27" s="30"/>
      <c r="N27" s="12" t="s">
        <v>14</v>
      </c>
      <c r="O27" s="11" t="s">
        <v>14</v>
      </c>
      <c r="P27" s="11" t="s">
        <v>14</v>
      </c>
      <c r="Q27" s="11"/>
      <c r="R27" s="11"/>
      <c r="S27" s="11"/>
      <c r="T27" s="12"/>
      <c r="V27" s="30">
        <v>24</v>
      </c>
      <c r="W27" s="11">
        <v>24</v>
      </c>
      <c r="X27" s="11">
        <v>24</v>
      </c>
      <c r="Y27" s="11">
        <v>24</v>
      </c>
      <c r="Z27" s="11"/>
      <c r="AA27" s="11"/>
      <c r="AB27" s="29">
        <v>24</v>
      </c>
      <c r="AC27" s="12"/>
      <c r="AE27" s="30">
        <f t="shared" ca="1" si="0"/>
        <v>0.73756717739042021</v>
      </c>
      <c r="AF27" s="11">
        <v>24</v>
      </c>
      <c r="AG27" s="11">
        <v>24</v>
      </c>
      <c r="AH27" s="11">
        <v>24</v>
      </c>
      <c r="AI27" s="32"/>
      <c r="AJ27" s="32"/>
      <c r="AK27" s="29">
        <v>24</v>
      </c>
      <c r="AL27" s="31"/>
      <c r="AN27" s="30">
        <v>24</v>
      </c>
      <c r="AO27" s="12" t="s">
        <v>15</v>
      </c>
    </row>
    <row r="28" spans="1:41" ht="20.149999999999999" customHeight="1" x14ac:dyDescent="0.35">
      <c r="A28" s="35"/>
      <c r="B28" s="16" t="s">
        <v>160</v>
      </c>
      <c r="C28" s="34" t="s">
        <v>14</v>
      </c>
      <c r="D28" s="34" t="s">
        <v>15</v>
      </c>
      <c r="E28" s="34" t="s">
        <v>22</v>
      </c>
      <c r="F28" s="34" t="s">
        <v>19</v>
      </c>
      <c r="G28" s="34" t="s">
        <v>5</v>
      </c>
      <c r="H28" s="34" t="s">
        <v>8</v>
      </c>
      <c r="I28" s="34" t="s">
        <v>6</v>
      </c>
      <c r="J28" s="30"/>
      <c r="K28" s="34" t="str">
        <f>'Designações FDS ()'!J27</f>
        <v>Lúcio Almeida</v>
      </c>
      <c r="L28" s="34" t="str">
        <f>'Designações FDS ()'!K27</f>
        <v>JOÃO CARLOS</v>
      </c>
      <c r="N28" s="12" t="s">
        <v>15</v>
      </c>
      <c r="O28" s="11" t="s">
        <v>15</v>
      </c>
      <c r="P28" s="11" t="s">
        <v>15</v>
      </c>
      <c r="Q28" s="11" t="s">
        <v>15</v>
      </c>
      <c r="R28" s="11" t="s">
        <v>15</v>
      </c>
      <c r="S28" s="29" t="s">
        <v>15</v>
      </c>
      <c r="T28" s="12"/>
      <c r="V28" s="30">
        <v>25</v>
      </c>
      <c r="W28" s="11">
        <v>25</v>
      </c>
      <c r="X28" s="11">
        <v>25</v>
      </c>
      <c r="Y28" s="11">
        <v>25</v>
      </c>
      <c r="Z28" s="11"/>
      <c r="AA28" s="11"/>
      <c r="AB28" s="11"/>
      <c r="AC28" s="12"/>
      <c r="AE28" s="30">
        <f t="shared" ca="1" si="0"/>
        <v>0.81008898792176631</v>
      </c>
      <c r="AF28" s="11">
        <v>25</v>
      </c>
      <c r="AG28" s="11">
        <v>25</v>
      </c>
      <c r="AH28" s="11">
        <v>25</v>
      </c>
      <c r="AI28" s="32"/>
      <c r="AJ28" s="32"/>
      <c r="AK28" s="32"/>
      <c r="AL28" s="31"/>
      <c r="AN28" s="30">
        <v>25</v>
      </c>
      <c r="AO28" s="12" t="s">
        <v>14</v>
      </c>
    </row>
    <row r="29" spans="1:41" ht="20.149999999999999" customHeight="1" x14ac:dyDescent="0.35">
      <c r="B29" s="17" t="s">
        <v>188</v>
      </c>
      <c r="C29" s="30" t="s">
        <v>15</v>
      </c>
      <c r="D29" s="30" t="s">
        <v>17</v>
      </c>
      <c r="E29" s="30" t="s">
        <v>7</v>
      </c>
      <c r="F29" s="30" t="s">
        <v>11</v>
      </c>
      <c r="G29" s="30" t="s">
        <v>24</v>
      </c>
      <c r="H29" s="30" t="s">
        <v>21</v>
      </c>
      <c r="I29" s="30" t="s">
        <v>131</v>
      </c>
      <c r="J29" s="30"/>
      <c r="K29" s="30"/>
      <c r="L29" s="30"/>
      <c r="N29" s="12" t="s">
        <v>17</v>
      </c>
      <c r="O29" s="11" t="s">
        <v>17</v>
      </c>
      <c r="P29" s="11" t="s">
        <v>17</v>
      </c>
      <c r="Q29" s="11"/>
      <c r="R29" s="11"/>
      <c r="S29" s="11"/>
      <c r="T29" s="12"/>
      <c r="V29" s="30">
        <v>26</v>
      </c>
      <c r="W29" s="11">
        <v>26</v>
      </c>
      <c r="X29" s="11">
        <v>26</v>
      </c>
      <c r="Y29" s="11">
        <v>26</v>
      </c>
      <c r="Z29" s="11"/>
      <c r="AA29" s="11"/>
      <c r="AB29" s="11"/>
      <c r="AC29" s="12"/>
      <c r="AE29" s="30">
        <f t="shared" ca="1" si="0"/>
        <v>0.78126700963857165</v>
      </c>
      <c r="AF29" s="11">
        <v>26</v>
      </c>
      <c r="AG29" s="11">
        <v>26</v>
      </c>
      <c r="AH29" s="11">
        <v>26</v>
      </c>
      <c r="AI29" s="32"/>
      <c r="AJ29" s="32"/>
      <c r="AK29" s="32"/>
      <c r="AL29" s="31"/>
      <c r="AN29" s="30">
        <v>26</v>
      </c>
      <c r="AO29" s="12" t="s">
        <v>17</v>
      </c>
    </row>
    <row r="30" spans="1:41" ht="20.149999999999999" customHeight="1" x14ac:dyDescent="0.35">
      <c r="B30" s="16" t="s">
        <v>161</v>
      </c>
      <c r="C30" s="34" t="s">
        <v>19</v>
      </c>
      <c r="D30" s="34" t="s">
        <v>20</v>
      </c>
      <c r="E30" s="34" t="s">
        <v>16</v>
      </c>
      <c r="F30" s="34" t="s">
        <v>23</v>
      </c>
      <c r="G30" s="34" t="s">
        <v>18</v>
      </c>
      <c r="H30" s="34" t="s">
        <v>6</v>
      </c>
      <c r="I30" s="34" t="s">
        <v>8</v>
      </c>
      <c r="J30" s="30"/>
      <c r="K30" s="34" t="str">
        <f>'Designações FDS ()'!J29</f>
        <v>Waldines Lima</v>
      </c>
      <c r="L30" s="34" t="str">
        <f>'Designações FDS ()'!K29</f>
        <v>DENILSON</v>
      </c>
      <c r="N30" s="12" t="s">
        <v>5</v>
      </c>
      <c r="O30" s="11" t="s">
        <v>5</v>
      </c>
      <c r="P30" s="11" t="s">
        <v>5</v>
      </c>
      <c r="Q30" s="11"/>
      <c r="R30" s="11"/>
      <c r="S30" s="11"/>
      <c r="T30" s="12"/>
      <c r="V30" s="30">
        <v>27</v>
      </c>
      <c r="W30" s="11">
        <v>27</v>
      </c>
      <c r="X30" s="11">
        <v>27</v>
      </c>
      <c r="Y30" s="11">
        <v>27</v>
      </c>
      <c r="Z30" s="11"/>
      <c r="AA30" s="11"/>
      <c r="AB30" s="11"/>
      <c r="AC30" s="12"/>
      <c r="AE30" s="30">
        <f t="shared" ca="1" si="0"/>
        <v>0.59749131650147536</v>
      </c>
      <c r="AF30" s="11">
        <v>27</v>
      </c>
      <c r="AG30" s="11">
        <v>27</v>
      </c>
      <c r="AH30" s="11">
        <v>27</v>
      </c>
      <c r="AI30" s="32"/>
      <c r="AJ30" s="32"/>
      <c r="AK30" s="32"/>
      <c r="AL30" s="31"/>
      <c r="AN30" s="30">
        <v>27</v>
      </c>
      <c r="AO30" s="12" t="s">
        <v>5</v>
      </c>
    </row>
    <row r="31" spans="1:41" ht="20.149999999999999" customHeight="1" x14ac:dyDescent="0.35">
      <c r="C31" s="30"/>
      <c r="E31" s="30"/>
      <c r="G31" s="30"/>
      <c r="H31" s="30"/>
      <c r="I31" s="30"/>
      <c r="J31" s="30"/>
      <c r="K31" s="30"/>
      <c r="L31" s="30"/>
      <c r="N31" s="12" t="s">
        <v>19</v>
      </c>
      <c r="O31" s="11" t="s">
        <v>19</v>
      </c>
      <c r="P31" s="11" t="s">
        <v>19</v>
      </c>
      <c r="Q31" s="11"/>
      <c r="R31" s="11"/>
      <c r="S31" s="11"/>
      <c r="T31" s="12"/>
      <c r="V31" s="30">
        <v>28</v>
      </c>
      <c r="W31" s="11">
        <v>28</v>
      </c>
      <c r="X31" s="11">
        <v>28</v>
      </c>
      <c r="Y31" s="11">
        <v>28</v>
      </c>
      <c r="Z31" s="11"/>
      <c r="AA31" s="11"/>
      <c r="AB31" s="11"/>
      <c r="AC31" s="12"/>
      <c r="AE31" s="30">
        <f t="shared" ca="1" si="0"/>
        <v>0.2934715360079645</v>
      </c>
      <c r="AF31" s="11">
        <v>28</v>
      </c>
      <c r="AG31" s="11">
        <v>28</v>
      </c>
      <c r="AH31" s="11">
        <v>28</v>
      </c>
      <c r="AI31" s="32"/>
      <c r="AJ31" s="32"/>
      <c r="AK31" s="32"/>
      <c r="AL31" s="31"/>
      <c r="AN31" s="30">
        <v>28</v>
      </c>
      <c r="AO31" s="29" t="s">
        <v>19</v>
      </c>
    </row>
    <row r="32" spans="1:41" ht="20.149999999999999" customHeight="1" x14ac:dyDescent="0.35">
      <c r="C32" s="30"/>
      <c r="N32" s="29" t="s">
        <v>8</v>
      </c>
      <c r="O32" s="29" t="s">
        <v>8</v>
      </c>
      <c r="P32" s="29" t="s">
        <v>8</v>
      </c>
      <c r="Q32" s="29" t="s">
        <v>8</v>
      </c>
      <c r="R32" s="29" t="s">
        <v>8</v>
      </c>
      <c r="S32" s="11"/>
      <c r="T32" s="12"/>
      <c r="V32" s="30">
        <v>29</v>
      </c>
      <c r="W32" s="29">
        <v>29</v>
      </c>
      <c r="X32" s="29">
        <v>29</v>
      </c>
      <c r="Y32" s="29">
        <v>29</v>
      </c>
      <c r="Z32" s="29">
        <v>29</v>
      </c>
      <c r="AA32" s="29">
        <v>29</v>
      </c>
      <c r="AB32" s="11"/>
      <c r="AC32" s="12"/>
      <c r="AE32" s="30">
        <f t="shared" ca="1" si="0"/>
        <v>0.16834257411734266</v>
      </c>
      <c r="AF32" s="29">
        <v>29</v>
      </c>
      <c r="AG32" s="29">
        <v>29</v>
      </c>
      <c r="AH32" s="29">
        <v>29</v>
      </c>
      <c r="AI32" s="29">
        <v>29</v>
      </c>
      <c r="AJ32" s="29">
        <v>29</v>
      </c>
      <c r="AK32" s="32"/>
      <c r="AL32" s="31"/>
      <c r="AN32" s="30">
        <v>29</v>
      </c>
      <c r="AO32" s="12" t="s">
        <v>8</v>
      </c>
    </row>
    <row r="33" spans="3:41" ht="20.149999999999999" customHeight="1" x14ac:dyDescent="0.35">
      <c r="C33" s="30"/>
      <c r="F33" s="30"/>
      <c r="I33" s="30"/>
      <c r="N33" s="12"/>
      <c r="O33" s="29" t="s">
        <v>131</v>
      </c>
      <c r="P33" s="29" t="s">
        <v>131</v>
      </c>
      <c r="Q33" s="29" t="s">
        <v>131</v>
      </c>
      <c r="R33" s="29" t="s">
        <v>131</v>
      </c>
      <c r="S33" s="29" t="s">
        <v>131</v>
      </c>
      <c r="T33" s="12"/>
      <c r="V33" s="30">
        <v>30</v>
      </c>
      <c r="W33" s="12"/>
      <c r="X33" s="29">
        <v>30</v>
      </c>
      <c r="Y33" s="29">
        <v>30</v>
      </c>
      <c r="Z33" s="29">
        <v>30</v>
      </c>
      <c r="AA33" s="29">
        <v>30</v>
      </c>
      <c r="AB33" s="29">
        <v>30</v>
      </c>
      <c r="AC33" s="12"/>
      <c r="AE33" s="30">
        <f t="shared" ca="1" si="0"/>
        <v>0.48428652247311521</v>
      </c>
      <c r="AF33" s="31"/>
      <c r="AG33" s="29">
        <v>30</v>
      </c>
      <c r="AH33" s="29">
        <v>30</v>
      </c>
      <c r="AI33" s="29">
        <v>30</v>
      </c>
      <c r="AJ33" s="29">
        <v>30</v>
      </c>
      <c r="AK33" s="29">
        <v>30</v>
      </c>
      <c r="AL33" s="31"/>
      <c r="AN33" s="30">
        <v>30</v>
      </c>
      <c r="AO33" s="12" t="s">
        <v>131</v>
      </c>
    </row>
    <row r="34" spans="3:41" ht="20.149999999999999" customHeight="1" x14ac:dyDescent="0.35">
      <c r="C34" s="30"/>
      <c r="N34" s="29"/>
      <c r="O34" s="29" t="s">
        <v>11</v>
      </c>
      <c r="P34" s="29" t="s">
        <v>11</v>
      </c>
      <c r="Q34" s="11"/>
      <c r="R34" s="11"/>
      <c r="S34" s="12"/>
      <c r="T34" s="12"/>
      <c r="V34" s="30">
        <v>31</v>
      </c>
      <c r="W34" s="29"/>
      <c r="X34" s="29">
        <v>31</v>
      </c>
      <c r="Y34" s="29">
        <v>31</v>
      </c>
      <c r="Z34" s="11"/>
      <c r="AA34" s="11"/>
      <c r="AB34" s="12"/>
      <c r="AC34" s="12"/>
      <c r="AE34" s="30">
        <f t="shared" ca="1" si="0"/>
        <v>8.298275615336248E-2</v>
      </c>
      <c r="AF34" s="33"/>
      <c r="AG34" s="29">
        <v>31</v>
      </c>
      <c r="AH34" s="29">
        <v>31</v>
      </c>
      <c r="AI34" s="32"/>
      <c r="AJ34" s="32"/>
      <c r="AK34" s="31"/>
      <c r="AL34" s="31"/>
      <c r="AN34" s="30">
        <v>31</v>
      </c>
      <c r="AO34" s="12" t="s">
        <v>11</v>
      </c>
    </row>
    <row r="35" spans="3:41" ht="20.149999999999999" customHeight="1" x14ac:dyDescent="0.35">
      <c r="C35" s="30" t="s">
        <v>16</v>
      </c>
      <c r="D35" s="30" t="s">
        <v>8</v>
      </c>
      <c r="E35" s="30" t="s">
        <v>15</v>
      </c>
      <c r="F35" s="30" t="s">
        <v>19</v>
      </c>
      <c r="G35" s="30" t="s">
        <v>24</v>
      </c>
      <c r="H35" s="30" t="s">
        <v>6</v>
      </c>
      <c r="I35" s="30" t="s">
        <v>145</v>
      </c>
      <c r="N35" s="12"/>
      <c r="O35" s="29" t="s">
        <v>24</v>
      </c>
      <c r="P35" s="29" t="s">
        <v>24</v>
      </c>
      <c r="Q35" s="29" t="s">
        <v>24</v>
      </c>
      <c r="R35" s="29" t="s">
        <v>24</v>
      </c>
      <c r="S35" s="11"/>
      <c r="T35" s="12"/>
      <c r="V35" s="30">
        <v>32</v>
      </c>
      <c r="W35" s="12"/>
      <c r="X35" s="29">
        <v>32</v>
      </c>
      <c r="Y35" s="29">
        <v>32</v>
      </c>
      <c r="Z35" s="11"/>
      <c r="AA35" s="11"/>
      <c r="AB35" s="11"/>
      <c r="AC35" s="12"/>
      <c r="AE35" s="30">
        <f t="shared" ca="1" si="0"/>
        <v>0.18686963377319155</v>
      </c>
      <c r="AF35" s="31"/>
      <c r="AG35" s="29">
        <v>32</v>
      </c>
      <c r="AH35" s="29">
        <v>32</v>
      </c>
      <c r="AI35" s="32"/>
      <c r="AJ35" s="32"/>
      <c r="AK35" s="32"/>
      <c r="AL35" s="31"/>
      <c r="AN35" s="30">
        <v>32</v>
      </c>
      <c r="AO35" s="12" t="s">
        <v>24</v>
      </c>
    </row>
    <row r="36" spans="3:41" ht="20.149999999999999" customHeight="1" x14ac:dyDescent="0.35">
      <c r="N36" s="29"/>
      <c r="O36" s="12" t="s">
        <v>23</v>
      </c>
      <c r="P36" s="12"/>
      <c r="Q36" s="11"/>
      <c r="R36" s="11"/>
      <c r="S36" s="11"/>
      <c r="T36" s="12"/>
      <c r="V36" s="30">
        <v>33</v>
      </c>
      <c r="W36" s="29"/>
      <c r="X36" s="12">
        <v>33</v>
      </c>
      <c r="Y36" s="12"/>
      <c r="Z36" s="11"/>
      <c r="AA36" s="11"/>
      <c r="AB36" s="11"/>
      <c r="AC36" s="12"/>
      <c r="AE36" s="30">
        <f t="shared" ca="1" si="0"/>
        <v>0.79076767840200213</v>
      </c>
      <c r="AF36" s="33"/>
      <c r="AG36" s="12">
        <v>33</v>
      </c>
      <c r="AH36" s="31"/>
      <c r="AI36" s="32"/>
      <c r="AJ36" s="32"/>
      <c r="AK36" s="32"/>
      <c r="AL36" s="31"/>
      <c r="AN36" s="30">
        <v>33</v>
      </c>
      <c r="AO36" s="12" t="s">
        <v>23</v>
      </c>
    </row>
  </sheetData>
  <sortState xmlns:xlrd2="http://schemas.microsoft.com/office/spreadsheetml/2017/richdata2" ref="B39:B54">
    <sortCondition ref="B39:B54"/>
  </sortState>
  <mergeCells count="25">
    <mergeCell ref="K2:L2"/>
    <mergeCell ref="AA1:AA3"/>
    <mergeCell ref="C3:D3"/>
    <mergeCell ref="E3:F3"/>
    <mergeCell ref="B1:I2"/>
    <mergeCell ref="Y1:Y3"/>
    <mergeCell ref="Z1:Z3"/>
    <mergeCell ref="Q1:Q3"/>
    <mergeCell ref="R1:R3"/>
    <mergeCell ref="S1:S3"/>
    <mergeCell ref="T1:T3"/>
    <mergeCell ref="N1:N3"/>
    <mergeCell ref="O1:O3"/>
    <mergeCell ref="P1:P3"/>
    <mergeCell ref="W1:W3"/>
    <mergeCell ref="X1:X3"/>
    <mergeCell ref="AB1:AB3"/>
    <mergeCell ref="AC1:AC3"/>
    <mergeCell ref="AK1:AK3"/>
    <mergeCell ref="AL1:AL3"/>
    <mergeCell ref="AF1:AF3"/>
    <mergeCell ref="AG1:AG3"/>
    <mergeCell ref="AH1:AH3"/>
    <mergeCell ref="AI1:AI3"/>
    <mergeCell ref="AJ1:AJ3"/>
  </mergeCells>
  <phoneticPr fontId="11" type="noConversion"/>
  <conditionalFormatting sqref="C4:I4">
    <cfRule type="duplicateValues" dxfId="49" priority="34"/>
  </conditionalFormatting>
  <conditionalFormatting sqref="C5:I5">
    <cfRule type="duplicateValues" dxfId="48" priority="33"/>
  </conditionalFormatting>
  <conditionalFormatting sqref="C6:I6">
    <cfRule type="duplicateValues" dxfId="47" priority="32"/>
  </conditionalFormatting>
  <conditionalFormatting sqref="C7:I7">
    <cfRule type="duplicateValues" dxfId="46" priority="31"/>
  </conditionalFormatting>
  <conditionalFormatting sqref="C8:I8">
    <cfRule type="duplicateValues" dxfId="45" priority="30"/>
  </conditionalFormatting>
  <conditionalFormatting sqref="C9:I9">
    <cfRule type="duplicateValues" dxfId="44" priority="29"/>
    <cfRule type="duplicateValues" dxfId="43" priority="24"/>
  </conditionalFormatting>
  <conditionalFormatting sqref="C10:I10">
    <cfRule type="duplicateValues" dxfId="42" priority="28"/>
  </conditionalFormatting>
  <conditionalFormatting sqref="C11:I11">
    <cfRule type="duplicateValues" dxfId="41" priority="21"/>
  </conditionalFormatting>
  <conditionalFormatting sqref="C13:I13">
    <cfRule type="duplicateValues" dxfId="40" priority="19"/>
  </conditionalFormatting>
  <conditionalFormatting sqref="C15:I15">
    <cfRule type="duplicateValues" dxfId="39" priority="17"/>
  </conditionalFormatting>
  <conditionalFormatting sqref="C17:I17">
    <cfRule type="duplicateValues" dxfId="38" priority="15"/>
  </conditionalFormatting>
  <conditionalFormatting sqref="C19:I19">
    <cfRule type="duplicateValues" dxfId="37" priority="13"/>
  </conditionalFormatting>
  <conditionalFormatting sqref="C21:I21">
    <cfRule type="duplicateValues" dxfId="36" priority="11"/>
  </conditionalFormatting>
  <conditionalFormatting sqref="C23:I23">
    <cfRule type="duplicateValues" dxfId="35" priority="9"/>
  </conditionalFormatting>
  <conditionalFormatting sqref="C25:I25">
    <cfRule type="duplicateValues" dxfId="34" priority="7"/>
  </conditionalFormatting>
  <conditionalFormatting sqref="C27:I27">
    <cfRule type="duplicateValues" dxfId="33" priority="5"/>
  </conditionalFormatting>
  <conditionalFormatting sqref="C29:I29">
    <cfRule type="duplicateValues" dxfId="32" priority="3"/>
  </conditionalFormatting>
  <conditionalFormatting sqref="C35:I35">
    <cfRule type="duplicateValues" dxfId="31" priority="1"/>
  </conditionalFormatting>
  <conditionalFormatting sqref="C4:L4">
    <cfRule type="duplicateValues" dxfId="30" priority="27"/>
  </conditionalFormatting>
  <conditionalFormatting sqref="C6:L6">
    <cfRule type="duplicateValues" dxfId="29" priority="26"/>
  </conditionalFormatting>
  <conditionalFormatting sqref="C8:L8">
    <cfRule type="duplicateValues" dxfId="28" priority="23"/>
    <cfRule type="duplicateValues" dxfId="27" priority="25"/>
  </conditionalFormatting>
  <conditionalFormatting sqref="C10:L10">
    <cfRule type="duplicateValues" dxfId="26" priority="22"/>
  </conditionalFormatting>
  <conditionalFormatting sqref="C12:L12">
    <cfRule type="duplicateValues" dxfId="25" priority="20"/>
  </conditionalFormatting>
  <conditionalFormatting sqref="C14:L14">
    <cfRule type="duplicateValues" dxfId="24" priority="18"/>
  </conditionalFormatting>
  <conditionalFormatting sqref="C16:L16">
    <cfRule type="duplicateValues" dxfId="23" priority="16"/>
  </conditionalFormatting>
  <conditionalFormatting sqref="C18:L18">
    <cfRule type="duplicateValues" dxfId="22" priority="14"/>
  </conditionalFormatting>
  <conditionalFormatting sqref="C20:L20">
    <cfRule type="duplicateValues" dxfId="21" priority="12"/>
  </conditionalFormatting>
  <conditionalFormatting sqref="C22:L22">
    <cfRule type="duplicateValues" dxfId="20" priority="10"/>
  </conditionalFormatting>
  <conditionalFormatting sqref="C24:L24">
    <cfRule type="duplicateValues" dxfId="19" priority="8"/>
  </conditionalFormatting>
  <conditionalFormatting sqref="C26:L26">
    <cfRule type="duplicateValues" dxfId="18" priority="6"/>
  </conditionalFormatting>
  <conditionalFormatting sqref="C28:L28">
    <cfRule type="duplicateValues" dxfId="17" priority="4"/>
  </conditionalFormatting>
  <conditionalFormatting sqref="C30:L30">
    <cfRule type="duplicateValues" dxfId="16" priority="2"/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C69C-7E16-478D-9AF5-F7D770823A2B}">
  <dimension ref="A2:K29"/>
  <sheetViews>
    <sheetView showGridLines="0" zoomScale="90" zoomScaleNormal="90" workbookViewId="0">
      <selection activeCell="K4" sqref="K4"/>
    </sheetView>
  </sheetViews>
  <sheetFormatPr defaultRowHeight="14.5" x14ac:dyDescent="0.35"/>
  <cols>
    <col min="2" max="2" width="18.54296875" customWidth="1"/>
    <col min="3" max="3" width="24.54296875" customWidth="1"/>
    <col min="4" max="5" width="18.54296875" customWidth="1"/>
    <col min="8" max="8" width="19" bestFit="1" customWidth="1"/>
    <col min="9" max="9" width="13.08984375" bestFit="1" customWidth="1"/>
    <col min="10" max="10" width="14.453125" bestFit="1" customWidth="1"/>
    <col min="11" max="11" width="19" bestFit="1" customWidth="1"/>
  </cols>
  <sheetData>
    <row r="2" spans="1:11" ht="36" customHeight="1" x14ac:dyDescent="0.35">
      <c r="A2" s="1" t="s">
        <v>0</v>
      </c>
      <c r="B2" s="1" t="s">
        <v>25</v>
      </c>
      <c r="C2" s="1" t="s">
        <v>28</v>
      </c>
      <c r="D2" s="6" t="s">
        <v>114</v>
      </c>
      <c r="E2" s="6" t="s">
        <v>29</v>
      </c>
    </row>
    <row r="3" spans="1:11" ht="39.9" customHeight="1" x14ac:dyDescent="0.35">
      <c r="A3" s="16" t="s">
        <v>148</v>
      </c>
      <c r="B3" s="7" t="s">
        <v>174</v>
      </c>
      <c r="C3" s="8"/>
      <c r="D3" s="8"/>
      <c r="E3" s="7" t="s">
        <v>79</v>
      </c>
      <c r="I3" t="s">
        <v>148</v>
      </c>
      <c r="J3" t="s">
        <v>174</v>
      </c>
      <c r="K3" t="s">
        <v>9</v>
      </c>
    </row>
    <row r="4" spans="1:11" ht="39.9" customHeight="1" x14ac:dyDescent="0.35">
      <c r="A4" s="17" t="s">
        <v>149</v>
      </c>
      <c r="B4" s="9" t="s">
        <v>165</v>
      </c>
      <c r="C4" s="9"/>
      <c r="D4" s="9"/>
      <c r="E4" s="10" t="s">
        <v>162</v>
      </c>
    </row>
    <row r="5" spans="1:11" ht="39.9" customHeight="1" x14ac:dyDescent="0.35">
      <c r="A5" s="16" t="s">
        <v>150</v>
      </c>
      <c r="B5" s="7" t="s">
        <v>79</v>
      </c>
      <c r="C5" s="8"/>
      <c r="D5" s="8"/>
      <c r="E5" s="7" t="s">
        <v>31</v>
      </c>
      <c r="I5" t="s">
        <v>149</v>
      </c>
      <c r="J5" t="s">
        <v>165</v>
      </c>
      <c r="K5" t="s">
        <v>145</v>
      </c>
    </row>
    <row r="6" spans="1:11" ht="39.9" customHeight="1" x14ac:dyDescent="0.35">
      <c r="A6" s="17" t="s">
        <v>151</v>
      </c>
      <c r="B6" s="9" t="s">
        <v>162</v>
      </c>
      <c r="C6" s="9"/>
      <c r="D6" s="9"/>
      <c r="E6" s="10" t="s">
        <v>175</v>
      </c>
    </row>
    <row r="7" spans="1:11" ht="39.9" customHeight="1" x14ac:dyDescent="0.35">
      <c r="A7" s="16" t="s">
        <v>152</v>
      </c>
      <c r="B7" s="7" t="s">
        <v>163</v>
      </c>
      <c r="C7" s="8"/>
      <c r="D7" s="8"/>
      <c r="E7" s="7" t="s">
        <v>34</v>
      </c>
      <c r="I7" t="s">
        <v>150</v>
      </c>
      <c r="J7" t="s">
        <v>9</v>
      </c>
      <c r="K7" t="s">
        <v>18</v>
      </c>
    </row>
    <row r="8" spans="1:11" ht="39.9" customHeight="1" x14ac:dyDescent="0.35">
      <c r="A8" s="17" t="s">
        <v>153</v>
      </c>
      <c r="B8" s="9" t="s">
        <v>166</v>
      </c>
      <c r="C8" s="9"/>
      <c r="D8" s="9"/>
      <c r="E8" s="10" t="s">
        <v>67</v>
      </c>
    </row>
    <row r="9" spans="1:11" ht="39.9" customHeight="1" x14ac:dyDescent="0.35">
      <c r="A9" s="16" t="s">
        <v>154</v>
      </c>
      <c r="B9" s="7" t="s">
        <v>81</v>
      </c>
      <c r="C9" s="8"/>
      <c r="D9" s="8"/>
      <c r="E9" s="7" t="s">
        <v>79</v>
      </c>
      <c r="I9" t="s">
        <v>151</v>
      </c>
      <c r="J9" t="s">
        <v>145</v>
      </c>
      <c r="K9" s="34" t="s">
        <v>131</v>
      </c>
    </row>
    <row r="10" spans="1:11" ht="39.9" customHeight="1" x14ac:dyDescent="0.35">
      <c r="A10" s="17" t="s">
        <v>155</v>
      </c>
      <c r="B10" s="9" t="s">
        <v>75</v>
      </c>
      <c r="C10" s="9"/>
      <c r="D10" s="9"/>
      <c r="E10" s="10" t="s">
        <v>30</v>
      </c>
    </row>
    <row r="11" spans="1:11" ht="39.9" customHeight="1" x14ac:dyDescent="0.35">
      <c r="A11" s="16" t="s">
        <v>156</v>
      </c>
      <c r="B11" s="7" t="s">
        <v>167</v>
      </c>
      <c r="C11" s="8"/>
      <c r="D11" s="8"/>
      <c r="E11" s="7" t="s">
        <v>162</v>
      </c>
      <c r="I11" t="s">
        <v>152</v>
      </c>
      <c r="J11" t="s">
        <v>163</v>
      </c>
      <c r="K11" t="s">
        <v>20</v>
      </c>
    </row>
    <row r="12" spans="1:11" ht="39.9" customHeight="1" x14ac:dyDescent="0.35">
      <c r="A12" s="17" t="s">
        <v>157</v>
      </c>
      <c r="B12" s="9" t="s">
        <v>89</v>
      </c>
      <c r="C12" s="9"/>
      <c r="D12" s="9"/>
      <c r="E12" s="10" t="s">
        <v>31</v>
      </c>
    </row>
    <row r="13" spans="1:11" ht="39.9" customHeight="1" x14ac:dyDescent="0.35">
      <c r="A13" s="16" t="s">
        <v>158</v>
      </c>
      <c r="B13" s="7" t="s">
        <v>168</v>
      </c>
      <c r="C13" s="8"/>
      <c r="D13" s="8"/>
      <c r="E13" s="7" t="s">
        <v>175</v>
      </c>
      <c r="I13" t="s">
        <v>153</v>
      </c>
      <c r="J13" t="s">
        <v>166</v>
      </c>
      <c r="K13" t="s">
        <v>15</v>
      </c>
    </row>
    <row r="14" spans="1:11" ht="39.9" customHeight="1" x14ac:dyDescent="0.35">
      <c r="A14" s="17" t="s">
        <v>159</v>
      </c>
      <c r="B14" s="9" t="s">
        <v>170</v>
      </c>
      <c r="C14" s="9"/>
      <c r="D14" s="9"/>
      <c r="E14" s="10" t="s">
        <v>34</v>
      </c>
    </row>
    <row r="15" spans="1:11" ht="39.9" customHeight="1" x14ac:dyDescent="0.35">
      <c r="A15" s="16" t="s">
        <v>160</v>
      </c>
      <c r="B15" s="7" t="s">
        <v>169</v>
      </c>
      <c r="C15" s="8"/>
      <c r="D15" s="8"/>
      <c r="E15" s="7" t="s">
        <v>30</v>
      </c>
      <c r="I15" t="s">
        <v>154</v>
      </c>
      <c r="J15" t="s">
        <v>81</v>
      </c>
      <c r="K15" t="s">
        <v>9</v>
      </c>
    </row>
    <row r="16" spans="1:11" ht="39.9" customHeight="1" x14ac:dyDescent="0.35">
      <c r="A16" s="17" t="s">
        <v>161</v>
      </c>
      <c r="B16" s="9" t="s">
        <v>171</v>
      </c>
      <c r="C16" s="9"/>
      <c r="D16" s="9"/>
      <c r="E16" s="10" t="s">
        <v>67</v>
      </c>
    </row>
    <row r="17" spans="2:11" x14ac:dyDescent="0.35">
      <c r="B17" t="s">
        <v>172</v>
      </c>
      <c r="I17" t="s">
        <v>155</v>
      </c>
      <c r="J17" t="s">
        <v>75</v>
      </c>
      <c r="K17" t="s">
        <v>21</v>
      </c>
    </row>
    <row r="18" spans="2:11" x14ac:dyDescent="0.35">
      <c r="B18" t="s">
        <v>173</v>
      </c>
    </row>
    <row r="19" spans="2:11" x14ac:dyDescent="0.35">
      <c r="B19" t="s">
        <v>174</v>
      </c>
      <c r="I19" t="s">
        <v>156</v>
      </c>
      <c r="J19" t="s">
        <v>167</v>
      </c>
      <c r="K19" t="s">
        <v>145</v>
      </c>
    </row>
    <row r="20" spans="2:11" x14ac:dyDescent="0.35">
      <c r="B20" t="s">
        <v>30</v>
      </c>
    </row>
    <row r="21" spans="2:11" x14ac:dyDescent="0.35">
      <c r="B21" t="s">
        <v>31</v>
      </c>
      <c r="I21" t="s">
        <v>157</v>
      </c>
      <c r="J21" t="s">
        <v>89</v>
      </c>
      <c r="K21" t="s">
        <v>18</v>
      </c>
    </row>
    <row r="22" spans="2:11" x14ac:dyDescent="0.35">
      <c r="B22" t="s">
        <v>32</v>
      </c>
    </row>
    <row r="23" spans="2:11" x14ac:dyDescent="0.35">
      <c r="B23" t="s">
        <v>33</v>
      </c>
      <c r="I23" t="s">
        <v>158</v>
      </c>
      <c r="J23" t="s">
        <v>168</v>
      </c>
      <c r="K23" s="34" t="s">
        <v>131</v>
      </c>
    </row>
    <row r="24" spans="2:11" x14ac:dyDescent="0.35">
      <c r="B24" t="s">
        <v>164</v>
      </c>
    </row>
    <row r="25" spans="2:11" x14ac:dyDescent="0.35">
      <c r="I25" t="s">
        <v>159</v>
      </c>
      <c r="J25" t="s">
        <v>170</v>
      </c>
      <c r="K25" t="s">
        <v>20</v>
      </c>
    </row>
    <row r="27" spans="2:11" x14ac:dyDescent="0.35">
      <c r="I27" t="s">
        <v>160</v>
      </c>
      <c r="J27" t="s">
        <v>169</v>
      </c>
      <c r="K27" t="s">
        <v>21</v>
      </c>
    </row>
    <row r="29" spans="2:11" x14ac:dyDescent="0.35">
      <c r="I29" t="s">
        <v>161</v>
      </c>
      <c r="J29" t="s">
        <v>171</v>
      </c>
      <c r="K29" t="s">
        <v>15</v>
      </c>
    </row>
  </sheetData>
  <phoneticPr fontId="11" type="noConversion"/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CC7D-D6D7-4CF9-9DD1-E9B517FDC314}">
  <dimension ref="A1:G51"/>
  <sheetViews>
    <sheetView showGridLines="0" zoomScaleNormal="100" workbookViewId="0">
      <pane xSplit="1" ySplit="3" topLeftCell="B4" activePane="bottomRight" state="frozen"/>
      <selection activeCell="K3" sqref="K3:L3"/>
      <selection pane="topRight" activeCell="K3" sqref="K3:L3"/>
      <selection pane="bottomLeft" activeCell="K3" sqref="K3:L3"/>
      <selection pane="bottomRight" activeCell="G17" sqref="G17"/>
    </sheetView>
  </sheetViews>
  <sheetFormatPr defaultRowHeight="14.5" x14ac:dyDescent="0.35"/>
  <cols>
    <col min="1" max="2" width="15.453125" style="41" bestFit="1" customWidth="1"/>
    <col min="3" max="3" width="15.453125" style="41" hidden="1" customWidth="1"/>
    <col min="4" max="5" width="14.6328125" style="41" bestFit="1" customWidth="1"/>
    <col min="6" max="6" width="16.08984375" style="41" bestFit="1" customWidth="1"/>
    <col min="7" max="7" width="15.36328125" customWidth="1"/>
  </cols>
  <sheetData>
    <row r="1" spans="1:7" ht="21" customHeight="1" x14ac:dyDescent="0.35">
      <c r="A1" s="145" t="s">
        <v>12</v>
      </c>
      <c r="B1" s="147" t="s">
        <v>146</v>
      </c>
      <c r="C1" s="149" t="s">
        <v>1</v>
      </c>
      <c r="D1" s="151" t="s">
        <v>452</v>
      </c>
      <c r="E1" s="141" t="s">
        <v>424</v>
      </c>
      <c r="F1" s="143" t="s">
        <v>130</v>
      </c>
    </row>
    <row r="2" spans="1:7" ht="21" customHeight="1" x14ac:dyDescent="0.35">
      <c r="A2" s="145"/>
      <c r="B2" s="147"/>
      <c r="C2" s="149"/>
      <c r="D2" s="151"/>
      <c r="E2" s="141"/>
      <c r="F2" s="143"/>
    </row>
    <row r="3" spans="1:7" ht="30" customHeight="1" x14ac:dyDescent="0.35">
      <c r="A3" s="146"/>
      <c r="B3" s="148"/>
      <c r="C3" s="150"/>
      <c r="D3" s="152"/>
      <c r="E3" s="142"/>
      <c r="F3" s="144"/>
    </row>
    <row r="4" spans="1:7" ht="30" customHeight="1" x14ac:dyDescent="0.35">
      <c r="A4" s="12" t="s">
        <v>426</v>
      </c>
      <c r="B4" s="12" t="s">
        <v>426</v>
      </c>
      <c r="C4" s="12"/>
      <c r="D4" s="12" t="s">
        <v>429</v>
      </c>
      <c r="E4" s="12" t="s">
        <v>426</v>
      </c>
      <c r="F4" s="12" t="s">
        <v>425</v>
      </c>
    </row>
    <row r="5" spans="1:7" s="3" customFormat="1" ht="30" customHeight="1" x14ac:dyDescent="0.35">
      <c r="A5" s="12" t="s">
        <v>427</v>
      </c>
      <c r="B5" s="12" t="s">
        <v>427</v>
      </c>
      <c r="C5" s="12"/>
      <c r="D5" s="12" t="s">
        <v>425</v>
      </c>
      <c r="E5" s="12" t="s">
        <v>428</v>
      </c>
      <c r="F5" s="12" t="s">
        <v>451</v>
      </c>
      <c r="G5"/>
    </row>
    <row r="6" spans="1:7" s="3" customFormat="1" ht="30" customHeight="1" x14ac:dyDescent="0.35">
      <c r="A6" s="12" t="s">
        <v>79</v>
      </c>
      <c r="B6" s="12" t="s">
        <v>79</v>
      </c>
      <c r="C6" s="12"/>
      <c r="D6" s="12" t="s">
        <v>426</v>
      </c>
      <c r="E6" s="12" t="s">
        <v>429</v>
      </c>
      <c r="F6" s="12" t="s">
        <v>468</v>
      </c>
      <c r="G6"/>
    </row>
    <row r="7" spans="1:7" ht="30" customHeight="1" x14ac:dyDescent="0.35">
      <c r="A7" s="12" t="s">
        <v>428</v>
      </c>
      <c r="B7" s="12" t="s">
        <v>428</v>
      </c>
      <c r="C7" s="12"/>
      <c r="D7" s="12" t="s">
        <v>435</v>
      </c>
      <c r="E7" s="12" t="s">
        <v>430</v>
      </c>
      <c r="F7" s="12" t="s">
        <v>469</v>
      </c>
    </row>
    <row r="8" spans="1:7" s="3" customFormat="1" ht="30" customHeight="1" x14ac:dyDescent="0.35">
      <c r="A8" s="12" t="s">
        <v>429</v>
      </c>
      <c r="B8" s="12" t="s">
        <v>429</v>
      </c>
      <c r="C8" s="12"/>
      <c r="D8" s="12" t="s">
        <v>471</v>
      </c>
      <c r="E8" s="12" t="s">
        <v>431</v>
      </c>
      <c r="F8" s="12" t="s">
        <v>429</v>
      </c>
      <c r="G8"/>
    </row>
    <row r="9" spans="1:7" ht="30" customHeight="1" x14ac:dyDescent="0.35">
      <c r="A9" s="12" t="s">
        <v>430</v>
      </c>
      <c r="B9" s="12" t="s">
        <v>430</v>
      </c>
      <c r="C9" s="12"/>
      <c r="D9" s="12"/>
      <c r="E9" s="12" t="s">
        <v>434</v>
      </c>
      <c r="F9" s="12" t="s">
        <v>431</v>
      </c>
    </row>
    <row r="10" spans="1:7" s="3" customFormat="1" ht="30" customHeight="1" x14ac:dyDescent="0.35">
      <c r="A10" s="12" t="s">
        <v>431</v>
      </c>
      <c r="B10" s="12" t="s">
        <v>432</v>
      </c>
      <c r="C10" s="12"/>
      <c r="D10" s="12"/>
      <c r="E10" s="12" t="s">
        <v>79</v>
      </c>
      <c r="F10" s="12" t="s">
        <v>477</v>
      </c>
      <c r="G10"/>
    </row>
    <row r="11" spans="1:7" ht="30" customHeight="1" x14ac:dyDescent="0.35">
      <c r="A11" s="12" t="s">
        <v>432</v>
      </c>
      <c r="B11" s="12" t="s">
        <v>431</v>
      </c>
      <c r="C11" s="12"/>
      <c r="D11" s="12"/>
      <c r="E11" s="12" t="s">
        <v>435</v>
      </c>
      <c r="F11" s="12" t="s">
        <v>423</v>
      </c>
    </row>
    <row r="12" spans="1:7" ht="30" customHeight="1" x14ac:dyDescent="0.35">
      <c r="A12" s="12" t="s">
        <v>433</v>
      </c>
      <c r="B12" s="12" t="s">
        <v>447</v>
      </c>
      <c r="C12" s="12"/>
      <c r="D12" s="12"/>
      <c r="E12" s="12" t="s">
        <v>436</v>
      </c>
      <c r="F12" s="12" t="s">
        <v>478</v>
      </c>
    </row>
    <row r="13" spans="1:7" s="3" customFormat="1" ht="30" customHeight="1" x14ac:dyDescent="0.35">
      <c r="A13" s="12" t="s">
        <v>434</v>
      </c>
      <c r="B13" s="12" t="s">
        <v>439</v>
      </c>
      <c r="C13" s="12"/>
      <c r="D13" s="12"/>
      <c r="E13" s="12" t="s">
        <v>440</v>
      </c>
      <c r="F13" s="12" t="s">
        <v>479</v>
      </c>
      <c r="G13"/>
    </row>
    <row r="14" spans="1:7" ht="30" customHeight="1" x14ac:dyDescent="0.35">
      <c r="A14" s="12" t="s">
        <v>435</v>
      </c>
      <c r="B14" s="12" t="s">
        <v>446</v>
      </c>
      <c r="C14" s="12"/>
      <c r="D14" s="12"/>
      <c r="E14" s="12" t="s">
        <v>442</v>
      </c>
      <c r="F14" s="12" t="s">
        <v>483</v>
      </c>
    </row>
    <row r="15" spans="1:7" s="3" customFormat="1" ht="30" customHeight="1" x14ac:dyDescent="0.35">
      <c r="A15" s="12" t="s">
        <v>436</v>
      </c>
      <c r="B15" s="12" t="s">
        <v>434</v>
      </c>
      <c r="C15" s="12"/>
      <c r="D15" s="12"/>
      <c r="E15" s="12" t="s">
        <v>443</v>
      </c>
      <c r="F15" s="12" t="s">
        <v>443</v>
      </c>
      <c r="G15"/>
    </row>
    <row r="16" spans="1:7" ht="30" customHeight="1" x14ac:dyDescent="0.35">
      <c r="A16" s="12" t="s">
        <v>437</v>
      </c>
      <c r="B16" s="12" t="s">
        <v>435</v>
      </c>
      <c r="C16" s="12"/>
      <c r="D16" s="12"/>
      <c r="E16" s="12" t="s">
        <v>445</v>
      </c>
      <c r="F16" s="12" t="s">
        <v>488</v>
      </c>
    </row>
    <row r="17" spans="1:6" ht="30" customHeight="1" x14ac:dyDescent="0.35">
      <c r="A17" s="12" t="s">
        <v>438</v>
      </c>
      <c r="B17" s="12" t="s">
        <v>436</v>
      </c>
      <c r="C17" s="12"/>
      <c r="D17" s="12"/>
      <c r="E17" s="12" t="s">
        <v>439</v>
      </c>
      <c r="F17" s="12" t="s">
        <v>477</v>
      </c>
    </row>
    <row r="18" spans="1:6" ht="30" customHeight="1" x14ac:dyDescent="0.35">
      <c r="A18" s="12" t="s">
        <v>439</v>
      </c>
      <c r="B18" s="12" t="s">
        <v>448</v>
      </c>
      <c r="C18" s="12"/>
      <c r="D18" s="12"/>
      <c r="E18" s="12" t="s">
        <v>450</v>
      </c>
      <c r="F18" s="12" t="s">
        <v>489</v>
      </c>
    </row>
    <row r="19" spans="1:6" ht="30" customHeight="1" x14ac:dyDescent="0.35">
      <c r="A19" s="12" t="s">
        <v>440</v>
      </c>
      <c r="B19" s="12" t="s">
        <v>438</v>
      </c>
      <c r="C19" s="12"/>
      <c r="D19" s="12"/>
      <c r="E19" s="12"/>
      <c r="F19" s="12"/>
    </row>
    <row r="20" spans="1:6" ht="30" customHeight="1" x14ac:dyDescent="0.35">
      <c r="A20" s="12" t="s">
        <v>441</v>
      </c>
      <c r="B20" s="12" t="s">
        <v>440</v>
      </c>
      <c r="C20" s="12"/>
      <c r="D20" s="12"/>
      <c r="E20" s="12"/>
      <c r="F20" s="12"/>
    </row>
    <row r="21" spans="1:6" ht="30" customHeight="1" x14ac:dyDescent="0.35">
      <c r="A21" s="12" t="s">
        <v>442</v>
      </c>
      <c r="B21" s="12" t="s">
        <v>449</v>
      </c>
      <c r="C21" s="12"/>
      <c r="D21" s="12"/>
      <c r="E21" s="12"/>
      <c r="F21" s="12"/>
    </row>
    <row r="22" spans="1:6" ht="30" customHeight="1" x14ac:dyDescent="0.35">
      <c r="A22" s="12" t="s">
        <v>443</v>
      </c>
      <c r="B22" s="12" t="s">
        <v>441</v>
      </c>
      <c r="C22" s="12"/>
      <c r="D22" s="12"/>
      <c r="E22" s="12"/>
      <c r="F22" s="12"/>
    </row>
    <row r="23" spans="1:6" ht="30" customHeight="1" x14ac:dyDescent="0.35">
      <c r="A23" s="12" t="s">
        <v>444</v>
      </c>
      <c r="B23" s="12" t="s">
        <v>442</v>
      </c>
      <c r="C23" s="12"/>
      <c r="D23" s="12"/>
      <c r="E23" s="12"/>
      <c r="F23" s="12"/>
    </row>
    <row r="24" spans="1:6" ht="30" customHeight="1" x14ac:dyDescent="0.35">
      <c r="A24" s="12" t="s">
        <v>445</v>
      </c>
      <c r="B24" s="12" t="s">
        <v>443</v>
      </c>
      <c r="C24" s="12"/>
      <c r="D24" s="12"/>
      <c r="E24" s="12"/>
      <c r="F24" s="12"/>
    </row>
    <row r="25" spans="1:6" ht="30" customHeight="1" x14ac:dyDescent="0.35">
      <c r="A25" s="12" t="s">
        <v>446</v>
      </c>
      <c r="B25" s="12" t="s">
        <v>444</v>
      </c>
      <c r="C25" s="12"/>
      <c r="D25" s="12"/>
      <c r="E25" s="12"/>
      <c r="F25" s="12"/>
    </row>
    <row r="26" spans="1:6" ht="30" customHeight="1" x14ac:dyDescent="0.35">
      <c r="A26" s="12" t="s">
        <v>470</v>
      </c>
      <c r="B26" s="12" t="s">
        <v>445</v>
      </c>
      <c r="C26" s="12"/>
      <c r="D26" s="12"/>
      <c r="E26" s="12"/>
      <c r="F26" s="12"/>
    </row>
    <row r="27" spans="1:6" ht="30" customHeight="1" x14ac:dyDescent="0.35">
      <c r="A27" s="12"/>
      <c r="B27" s="12" t="s">
        <v>470</v>
      </c>
      <c r="C27" s="12"/>
      <c r="D27" s="12"/>
      <c r="E27" s="12"/>
      <c r="F27" s="12"/>
    </row>
    <row r="28" spans="1:6" ht="30" customHeight="1" x14ac:dyDescent="0.35">
      <c r="A28" s="12"/>
      <c r="B28" s="12"/>
      <c r="C28" s="12"/>
      <c r="D28" s="12"/>
      <c r="E28" s="12"/>
      <c r="F28" s="12"/>
    </row>
    <row r="29" spans="1:6" ht="30" customHeight="1" x14ac:dyDescent="0.35">
      <c r="A29" s="12"/>
      <c r="B29" s="12"/>
      <c r="C29" s="12"/>
      <c r="D29" s="12"/>
      <c r="E29" s="12"/>
      <c r="F29" s="12"/>
    </row>
    <row r="30" spans="1:6" ht="30" customHeight="1" x14ac:dyDescent="0.35">
      <c r="A30" s="12"/>
      <c r="B30" s="12"/>
      <c r="C30" s="12"/>
      <c r="D30" s="12"/>
      <c r="E30" s="12"/>
      <c r="F30" s="82"/>
    </row>
    <row r="31" spans="1:6" ht="30" customHeight="1" x14ac:dyDescent="0.35">
      <c r="A31" s="12"/>
      <c r="B31" s="12"/>
      <c r="C31" s="12"/>
      <c r="D31" s="12"/>
      <c r="E31" s="12"/>
      <c r="F31" s="82"/>
    </row>
    <row r="32" spans="1:6" ht="30" customHeight="1" x14ac:dyDescent="0.35">
      <c r="A32" s="12"/>
      <c r="B32" s="12"/>
      <c r="C32" s="12"/>
      <c r="D32" s="12"/>
      <c r="E32" s="12"/>
      <c r="F32" s="82"/>
    </row>
    <row r="33" spans="1:6" ht="30" customHeight="1" x14ac:dyDescent="0.35">
      <c r="A33" s="12"/>
      <c r="B33" s="12"/>
      <c r="C33" s="12"/>
      <c r="D33" s="12"/>
      <c r="E33" s="12"/>
      <c r="F33" s="82"/>
    </row>
    <row r="34" spans="1:6" ht="30" customHeight="1" x14ac:dyDescent="0.35">
      <c r="A34" s="12"/>
      <c r="B34" s="12"/>
      <c r="C34" s="12"/>
      <c r="D34" s="12"/>
      <c r="E34" s="12"/>
      <c r="F34" s="82"/>
    </row>
    <row r="35" spans="1:6" ht="30" customHeight="1" x14ac:dyDescent="0.35">
      <c r="A35" s="12"/>
      <c r="B35" s="12"/>
      <c r="C35" s="12"/>
      <c r="D35" s="12"/>
      <c r="E35" s="12"/>
      <c r="F35" s="82"/>
    </row>
    <row r="36" spans="1:6" ht="30" customHeight="1" x14ac:dyDescent="0.35">
      <c r="A36" s="12"/>
      <c r="B36" s="12"/>
      <c r="C36" s="12"/>
      <c r="D36" s="12"/>
      <c r="E36" s="12"/>
      <c r="F36" s="82"/>
    </row>
    <row r="37" spans="1:6" ht="30" customHeight="1" x14ac:dyDescent="0.35">
      <c r="A37" s="12"/>
      <c r="B37" s="12"/>
      <c r="C37" s="12"/>
      <c r="D37" s="12"/>
      <c r="E37" s="12"/>
      <c r="F37" s="82"/>
    </row>
    <row r="38" spans="1:6" ht="30" customHeight="1" x14ac:dyDescent="0.35">
      <c r="A38" s="12"/>
      <c r="B38" s="12"/>
      <c r="C38" s="12"/>
      <c r="D38" s="12"/>
      <c r="E38" s="12"/>
      <c r="F38" s="82"/>
    </row>
    <row r="39" spans="1:6" ht="30" customHeight="1" x14ac:dyDescent="0.35">
      <c r="A39" s="12"/>
      <c r="B39" s="12"/>
      <c r="C39" s="12"/>
      <c r="D39" s="12"/>
      <c r="E39" s="12"/>
      <c r="F39" s="82"/>
    </row>
    <row r="40" spans="1:6" ht="30" customHeight="1" x14ac:dyDescent="0.35">
      <c r="A40" s="12"/>
      <c r="B40" s="12"/>
      <c r="C40" s="12"/>
      <c r="D40" s="12"/>
      <c r="E40" s="12"/>
      <c r="F40" s="82"/>
    </row>
    <row r="41" spans="1:6" ht="30" customHeight="1" x14ac:dyDescent="0.35">
      <c r="A41" s="12"/>
      <c r="B41" s="12"/>
      <c r="C41" s="12"/>
      <c r="D41" s="12"/>
      <c r="E41" s="12"/>
      <c r="F41" s="82"/>
    </row>
    <row r="42" spans="1:6" ht="30" customHeight="1" x14ac:dyDescent="0.35">
      <c r="A42" s="12"/>
      <c r="B42" s="12"/>
      <c r="C42" s="12"/>
      <c r="D42" s="12"/>
      <c r="E42" s="12"/>
      <c r="F42" s="82"/>
    </row>
    <row r="43" spans="1:6" ht="30" customHeight="1" x14ac:dyDescent="0.35">
      <c r="A43" s="12"/>
      <c r="B43" s="12"/>
      <c r="C43" s="12"/>
      <c r="D43" s="12"/>
      <c r="E43" s="12"/>
      <c r="F43" s="82"/>
    </row>
    <row r="44" spans="1:6" ht="30" customHeight="1" x14ac:dyDescent="0.35">
      <c r="A44" s="12"/>
      <c r="B44" s="12"/>
      <c r="C44" s="12"/>
      <c r="D44" s="12"/>
      <c r="E44" s="12"/>
      <c r="F44" s="82"/>
    </row>
    <row r="45" spans="1:6" ht="30" customHeight="1" x14ac:dyDescent="0.35">
      <c r="A45" s="12"/>
      <c r="B45" s="12"/>
      <c r="C45" s="12"/>
      <c r="D45" s="12"/>
      <c r="E45" s="12"/>
      <c r="F45" s="82"/>
    </row>
    <row r="46" spans="1:6" ht="30" customHeight="1" x14ac:dyDescent="0.35">
      <c r="A46" s="12"/>
      <c r="B46" s="12"/>
      <c r="C46" s="12"/>
      <c r="D46" s="12"/>
      <c r="E46" s="12"/>
      <c r="F46" s="82"/>
    </row>
    <row r="47" spans="1:6" ht="30" customHeight="1" x14ac:dyDescent="0.35">
      <c r="A47" s="12"/>
      <c r="B47" s="12"/>
      <c r="C47" s="12"/>
      <c r="D47" s="12"/>
      <c r="E47" s="12"/>
      <c r="F47" s="82"/>
    </row>
    <row r="48" spans="1:6" ht="30" customHeight="1" x14ac:dyDescent="0.35">
      <c r="A48" s="12"/>
      <c r="C48" s="12"/>
      <c r="D48" s="12"/>
      <c r="E48" s="12"/>
      <c r="F48" s="82"/>
    </row>
    <row r="49" spans="1:6" ht="30" customHeight="1" x14ac:dyDescent="0.35">
      <c r="A49" s="12"/>
      <c r="D49" s="12"/>
      <c r="E49" s="12"/>
      <c r="F49" s="82"/>
    </row>
    <row r="50" spans="1:6" ht="30" customHeight="1" x14ac:dyDescent="0.35">
      <c r="A50" s="12"/>
      <c r="D50" s="82"/>
      <c r="E50" s="12"/>
      <c r="F50" s="82"/>
    </row>
    <row r="51" spans="1:6" ht="30" customHeight="1" x14ac:dyDescent="0.35">
      <c r="D51" s="82"/>
    </row>
  </sheetData>
  <sortState xmlns:xlrd2="http://schemas.microsoft.com/office/spreadsheetml/2017/richdata2" ref="F4:F29">
    <sortCondition ref="F29"/>
  </sortState>
  <mergeCells count="6">
    <mergeCell ref="F1:F3"/>
    <mergeCell ref="A1:A3"/>
    <mergeCell ref="B1:B3"/>
    <mergeCell ref="C1:C3"/>
    <mergeCell ref="D1:D3"/>
    <mergeCell ref="E1:E3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3A83-B5E1-45DC-8E33-ED87D1D5618C}">
  <sheetPr>
    <pageSetUpPr fitToPage="1"/>
  </sheetPr>
  <dimension ref="A1:J166"/>
  <sheetViews>
    <sheetView showGridLines="0" topLeftCell="A20" zoomScale="115" zoomScaleNormal="115" workbookViewId="0">
      <selection activeCell="L32" sqref="L32"/>
    </sheetView>
  </sheetViews>
  <sheetFormatPr defaultRowHeight="14.5" x14ac:dyDescent="0.35"/>
  <cols>
    <col min="1" max="1" width="7" customWidth="1"/>
    <col min="2" max="2" width="2.08984375" customWidth="1"/>
    <col min="3" max="3" width="16.36328125" customWidth="1"/>
    <col min="4" max="4" width="6.90625" customWidth="1"/>
    <col min="5" max="5" width="14" customWidth="1"/>
    <col min="6" max="6" width="4.54296875" customWidth="1"/>
    <col min="7" max="7" width="6.54296875" customWidth="1"/>
    <col min="8" max="8" width="13.54296875" customWidth="1"/>
    <col min="9" max="9" width="9.90625" customWidth="1"/>
    <col min="10" max="10" width="20" customWidth="1"/>
  </cols>
  <sheetData>
    <row r="1" spans="1:10" x14ac:dyDescent="0.35">
      <c r="A1" s="219" t="s">
        <v>494</v>
      </c>
      <c r="B1" s="219"/>
      <c r="C1" s="219"/>
      <c r="D1" s="219"/>
      <c r="E1" s="219"/>
      <c r="F1" s="219"/>
      <c r="G1" s="219"/>
      <c r="H1" s="219"/>
      <c r="I1" s="219"/>
      <c r="J1" s="219"/>
    </row>
    <row r="2" spans="1:10" ht="11.25" customHeight="1" x14ac:dyDescent="0.35">
      <c r="A2" s="219"/>
      <c r="B2" s="219"/>
      <c r="C2" s="219"/>
      <c r="D2" s="219"/>
      <c r="E2" s="219"/>
      <c r="F2" s="219"/>
      <c r="G2" s="219"/>
      <c r="H2" s="219"/>
      <c r="I2" s="219"/>
      <c r="J2" s="219"/>
    </row>
    <row r="3" spans="1:10" ht="13.5" customHeight="1" x14ac:dyDescent="0.35">
      <c r="A3" s="220">
        <v>46022</v>
      </c>
      <c r="B3" s="220"/>
      <c r="C3" s="220"/>
      <c r="D3" s="220"/>
      <c r="E3" s="220"/>
      <c r="F3" s="26"/>
      <c r="G3" s="26"/>
      <c r="H3" s="26"/>
      <c r="I3" s="26"/>
      <c r="J3" s="26"/>
    </row>
    <row r="4" spans="1:10" x14ac:dyDescent="0.35">
      <c r="A4" s="221" t="s">
        <v>495</v>
      </c>
      <c r="B4" s="221"/>
      <c r="C4" s="221"/>
      <c r="D4" s="221"/>
      <c r="E4" s="221"/>
      <c r="F4" s="222"/>
      <c r="G4" s="223" t="s">
        <v>496</v>
      </c>
      <c r="H4" s="223"/>
      <c r="I4" s="224" t="s">
        <v>488</v>
      </c>
      <c r="J4" s="224"/>
    </row>
    <row r="5" spans="1:10" x14ac:dyDescent="0.35">
      <c r="A5" s="221"/>
      <c r="B5" s="221"/>
      <c r="C5" s="221"/>
      <c r="D5" s="222"/>
      <c r="E5" s="222"/>
      <c r="F5" s="222"/>
      <c r="G5" s="225"/>
      <c r="H5" s="226" t="s">
        <v>497</v>
      </c>
      <c r="I5" s="224" t="s">
        <v>498</v>
      </c>
      <c r="J5" s="224"/>
    </row>
    <row r="6" spans="1:10" ht="4.5" customHeight="1" x14ac:dyDescent="0.35">
      <c r="A6" s="227"/>
      <c r="B6" s="227"/>
      <c r="C6" s="227"/>
      <c r="D6" s="222"/>
      <c r="E6" s="222"/>
      <c r="F6" s="222"/>
      <c r="G6" s="228"/>
      <c r="H6" s="228"/>
      <c r="I6" s="229"/>
      <c r="J6" s="229"/>
    </row>
    <row r="7" spans="1:10" x14ac:dyDescent="0.35">
      <c r="A7" s="229">
        <v>0.8125</v>
      </c>
      <c r="B7" s="229"/>
      <c r="C7" s="227" t="s">
        <v>499</v>
      </c>
      <c r="D7" s="227"/>
      <c r="E7" s="230"/>
      <c r="F7" s="230"/>
      <c r="G7" s="231"/>
      <c r="H7" s="226" t="s">
        <v>500</v>
      </c>
      <c r="I7" s="224" t="s">
        <v>489</v>
      </c>
      <c r="J7" s="224"/>
    </row>
    <row r="8" spans="1:10" x14ac:dyDescent="0.35">
      <c r="A8" s="232">
        <v>0.81597222222222221</v>
      </c>
      <c r="B8" s="232"/>
      <c r="C8" s="221" t="s">
        <v>501</v>
      </c>
      <c r="D8" s="221"/>
      <c r="E8" s="221"/>
      <c r="F8" s="230"/>
      <c r="G8" s="230"/>
      <c r="H8" s="226" t="s">
        <v>502</v>
      </c>
      <c r="I8" s="224" t="s">
        <v>445</v>
      </c>
      <c r="J8" s="224"/>
    </row>
    <row r="9" spans="1:10" ht="6" customHeight="1" x14ac:dyDescent="0.35">
      <c r="A9" s="232"/>
      <c r="B9" s="232"/>
      <c r="C9" s="222"/>
      <c r="D9" s="222"/>
      <c r="E9" s="230"/>
      <c r="F9" s="230"/>
      <c r="G9" s="230"/>
      <c r="H9" s="230"/>
      <c r="I9" s="230"/>
      <c r="J9" s="230"/>
    </row>
    <row r="10" spans="1:10" ht="15.5" x14ac:dyDescent="0.35">
      <c r="A10" s="233" t="s">
        <v>503</v>
      </c>
      <c r="B10" s="233"/>
      <c r="C10" s="233"/>
      <c r="D10" s="233"/>
      <c r="E10" s="233"/>
      <c r="F10" s="233"/>
      <c r="G10" s="233"/>
      <c r="H10" s="233"/>
      <c r="I10" s="233"/>
      <c r="J10" s="233"/>
    </row>
    <row r="11" spans="1:10" s="236" customFormat="1" ht="7.5" customHeight="1" x14ac:dyDescent="0.35">
      <c r="A11" s="222"/>
      <c r="B11" s="222"/>
      <c r="C11" s="222"/>
      <c r="D11" s="222"/>
      <c r="E11" s="222"/>
      <c r="F11" s="222"/>
      <c r="G11" s="234"/>
      <c r="H11" s="234"/>
      <c r="I11" s="235"/>
      <c r="J11" s="235"/>
    </row>
    <row r="12" spans="1:10" x14ac:dyDescent="0.35">
      <c r="A12" s="229">
        <v>0.81666666666666676</v>
      </c>
      <c r="B12" s="237" t="s">
        <v>504</v>
      </c>
      <c r="C12" s="222" t="s">
        <v>505</v>
      </c>
      <c r="D12" s="222"/>
      <c r="E12" s="222"/>
      <c r="F12" s="222"/>
      <c r="G12" s="222"/>
      <c r="H12" s="222"/>
      <c r="I12" s="224" t="s">
        <v>430</v>
      </c>
      <c r="J12" s="224"/>
    </row>
    <row r="13" spans="1:10" x14ac:dyDescent="0.35">
      <c r="A13" s="229">
        <v>0.82361111111111107</v>
      </c>
      <c r="B13" s="237" t="s">
        <v>504</v>
      </c>
      <c r="C13" s="221" t="s">
        <v>506</v>
      </c>
      <c r="D13" s="221"/>
      <c r="E13" s="221"/>
      <c r="F13" s="222"/>
      <c r="G13" s="222"/>
      <c r="H13" s="222"/>
      <c r="I13" s="224" t="s">
        <v>507</v>
      </c>
      <c r="J13" s="224"/>
    </row>
    <row r="14" spans="1:10" x14ac:dyDescent="0.35">
      <c r="A14" s="229">
        <v>0.8305555555555556</v>
      </c>
      <c r="B14" s="237" t="s">
        <v>504</v>
      </c>
      <c r="C14" s="238" t="s">
        <v>508</v>
      </c>
      <c r="D14" s="238"/>
      <c r="E14" s="238"/>
      <c r="F14" s="238"/>
      <c r="G14" s="238"/>
      <c r="H14" s="239" t="s">
        <v>509</v>
      </c>
      <c r="I14" s="224" t="s">
        <v>510</v>
      </c>
      <c r="J14" s="224"/>
    </row>
    <row r="15" spans="1:10" x14ac:dyDescent="0.35">
      <c r="A15" s="229"/>
      <c r="B15" s="237"/>
      <c r="C15" s="240"/>
      <c r="D15" s="240"/>
      <c r="E15" s="240"/>
      <c r="F15" s="240"/>
      <c r="G15" s="240"/>
      <c r="H15" s="239" t="s">
        <v>511</v>
      </c>
      <c r="I15" s="224" t="s">
        <v>481</v>
      </c>
      <c r="J15" s="224"/>
    </row>
    <row r="16" spans="1:10" s="236" customFormat="1" ht="7.5" customHeight="1" x14ac:dyDescent="0.35">
      <c r="A16" s="222"/>
      <c r="B16" s="222"/>
      <c r="C16" s="222"/>
      <c r="D16" s="222"/>
      <c r="E16" s="222"/>
      <c r="F16" s="222"/>
      <c r="G16" s="234"/>
      <c r="H16" s="234"/>
      <c r="I16" s="235"/>
      <c r="J16" s="235"/>
    </row>
    <row r="17" spans="1:10" ht="15.5" x14ac:dyDescent="0.35">
      <c r="A17" s="241" t="s">
        <v>512</v>
      </c>
      <c r="B17" s="241"/>
      <c r="C17" s="241"/>
      <c r="D17" s="241"/>
      <c r="E17" s="241"/>
      <c r="F17" s="241"/>
      <c r="G17" s="241"/>
      <c r="H17" s="241"/>
      <c r="I17" s="241"/>
      <c r="J17" s="241"/>
    </row>
    <row r="18" spans="1:10" s="236" customFormat="1" ht="7.5" customHeight="1" x14ac:dyDescent="0.35">
      <c r="A18" s="222"/>
      <c r="B18" s="222"/>
      <c r="C18" s="222"/>
      <c r="D18" s="222"/>
      <c r="E18" s="222"/>
      <c r="F18" s="222"/>
      <c r="G18" s="234"/>
      <c r="H18" s="234"/>
      <c r="I18" s="235"/>
      <c r="J18" s="235"/>
    </row>
    <row r="19" spans="1:10" x14ac:dyDescent="0.35">
      <c r="A19" s="229">
        <v>0.83333333333333337</v>
      </c>
      <c r="B19" s="242" t="s">
        <v>504</v>
      </c>
      <c r="C19" s="222" t="s">
        <v>513</v>
      </c>
      <c r="D19" s="222"/>
      <c r="E19" s="222"/>
      <c r="F19" s="222"/>
      <c r="G19" s="243" t="s">
        <v>509</v>
      </c>
      <c r="H19" s="243"/>
      <c r="I19" s="224" t="s">
        <v>514</v>
      </c>
      <c r="J19" s="224"/>
    </row>
    <row r="20" spans="1:10" ht="12" customHeight="1" x14ac:dyDescent="0.35">
      <c r="A20" s="26"/>
      <c r="B20" s="244" t="s">
        <v>515</v>
      </c>
      <c r="C20" s="244"/>
      <c r="D20" s="244"/>
      <c r="E20" s="244"/>
      <c r="F20" s="244"/>
      <c r="G20" s="244"/>
      <c r="H20" s="239" t="s">
        <v>511</v>
      </c>
      <c r="I20" s="224" t="s">
        <v>516</v>
      </c>
      <c r="J20" s="224"/>
    </row>
    <row r="21" spans="1:10" ht="3.75" customHeight="1" x14ac:dyDescent="0.35">
      <c r="A21" s="26"/>
      <c r="B21" s="222"/>
      <c r="C21" s="245"/>
      <c r="D21" s="245"/>
      <c r="E21" s="245"/>
      <c r="F21" s="245"/>
      <c r="G21" s="246"/>
      <c r="H21" s="246"/>
      <c r="I21" s="222"/>
      <c r="J21" s="222"/>
    </row>
    <row r="22" spans="1:10" x14ac:dyDescent="0.35">
      <c r="A22" s="229">
        <v>0.83611111111111114</v>
      </c>
      <c r="B22" s="242" t="s">
        <v>504</v>
      </c>
      <c r="C22" s="222" t="s">
        <v>517</v>
      </c>
      <c r="D22" s="222"/>
      <c r="E22" s="222"/>
      <c r="F22" s="222"/>
      <c r="G22" s="243" t="s">
        <v>509</v>
      </c>
      <c r="H22" s="243"/>
      <c r="I22" s="224" t="s">
        <v>557</v>
      </c>
      <c r="J22" s="224"/>
    </row>
    <row r="23" spans="1:10" ht="12.75" customHeight="1" x14ac:dyDescent="0.35">
      <c r="A23" s="26"/>
      <c r="B23" s="244" t="s">
        <v>518</v>
      </c>
      <c r="C23" s="244"/>
      <c r="D23" s="244"/>
      <c r="E23" s="244"/>
      <c r="F23" s="244"/>
      <c r="G23" s="244"/>
      <c r="H23" s="239" t="s">
        <v>511</v>
      </c>
      <c r="I23" s="247" t="s">
        <v>519</v>
      </c>
      <c r="J23" s="247"/>
    </row>
    <row r="24" spans="1:10" ht="3.75" customHeight="1" x14ac:dyDescent="0.35">
      <c r="A24" s="26"/>
      <c r="B24" s="222"/>
      <c r="C24" s="245"/>
      <c r="D24" s="245"/>
      <c r="E24" s="245"/>
      <c r="F24" s="245"/>
      <c r="G24" s="246"/>
      <c r="H24" s="246"/>
      <c r="I24" s="222"/>
      <c r="J24" s="222"/>
    </row>
    <row r="25" spans="1:10" x14ac:dyDescent="0.35">
      <c r="A25" s="229">
        <v>0.83958333333333335</v>
      </c>
      <c r="B25" s="242" t="s">
        <v>504</v>
      </c>
      <c r="C25" s="222" t="s">
        <v>520</v>
      </c>
      <c r="D25" s="222"/>
      <c r="E25" s="222"/>
      <c r="F25" s="222"/>
      <c r="G25" s="243" t="s">
        <v>509</v>
      </c>
      <c r="H25" s="243"/>
      <c r="I25" s="224" t="s">
        <v>443</v>
      </c>
      <c r="J25" s="224"/>
    </row>
    <row r="26" spans="1:10" ht="12.75" customHeight="1" x14ac:dyDescent="0.35">
      <c r="A26" s="26"/>
      <c r="B26" s="244" t="s">
        <v>521</v>
      </c>
      <c r="C26" s="244"/>
      <c r="D26" s="244"/>
      <c r="E26" s="244"/>
      <c r="F26" s="244"/>
      <c r="G26" s="244"/>
      <c r="H26" s="239" t="s">
        <v>511</v>
      </c>
      <c r="I26" s="247" t="s">
        <v>522</v>
      </c>
      <c r="J26" s="247"/>
    </row>
    <row r="27" spans="1:10" ht="5.25" customHeight="1" x14ac:dyDescent="0.35">
      <c r="A27" s="26"/>
      <c r="B27" s="248"/>
      <c r="C27" s="248"/>
      <c r="D27" s="248"/>
      <c r="E27" s="248"/>
      <c r="F27" s="248"/>
      <c r="G27" s="246"/>
      <c r="H27" s="246"/>
      <c r="I27" s="222"/>
      <c r="J27" s="222"/>
    </row>
    <row r="28" spans="1:10" ht="15.5" x14ac:dyDescent="0.35">
      <c r="A28" s="249" t="s">
        <v>523</v>
      </c>
      <c r="B28" s="249"/>
      <c r="C28" s="249"/>
      <c r="D28" s="249"/>
      <c r="E28" s="249"/>
      <c r="F28" s="249"/>
      <c r="G28" s="249"/>
      <c r="H28" s="249"/>
      <c r="I28" s="249"/>
      <c r="J28" s="249"/>
    </row>
    <row r="29" spans="1:10" s="236" customFormat="1" ht="7.5" customHeight="1" x14ac:dyDescent="0.35">
      <c r="A29" s="222"/>
      <c r="B29" s="222"/>
      <c r="C29" s="222"/>
      <c r="D29" s="222"/>
      <c r="E29" s="222"/>
      <c r="F29" s="222"/>
      <c r="G29" s="234"/>
      <c r="H29" s="234"/>
      <c r="I29" s="235"/>
      <c r="J29" s="235"/>
    </row>
    <row r="30" spans="1:10" ht="12.75" customHeight="1" x14ac:dyDescent="0.35">
      <c r="A30" s="229">
        <v>0.84722222222222221</v>
      </c>
      <c r="B30" s="222"/>
      <c r="C30" s="222" t="s">
        <v>524</v>
      </c>
      <c r="D30" s="227"/>
      <c r="E30" s="222"/>
      <c r="F30" s="222"/>
      <c r="G30" s="222"/>
      <c r="H30" s="222"/>
      <c r="I30" s="222"/>
      <c r="J30" s="222"/>
    </row>
    <row r="31" spans="1:10" ht="8.25" customHeight="1" x14ac:dyDescent="0.35">
      <c r="A31" s="229"/>
      <c r="B31" s="222"/>
      <c r="C31" s="222"/>
      <c r="D31" s="227"/>
      <c r="E31" s="222"/>
      <c r="F31" s="222"/>
      <c r="G31" s="222"/>
      <c r="H31" s="222"/>
      <c r="I31" s="235"/>
      <c r="J31" s="235"/>
    </row>
    <row r="32" spans="1:10" ht="14.4" customHeight="1" x14ac:dyDescent="0.35">
      <c r="A32" s="229">
        <v>0.84861111111111109</v>
      </c>
      <c r="B32" s="250" t="s">
        <v>504</v>
      </c>
      <c r="C32" s="238" t="s">
        <v>525</v>
      </c>
      <c r="D32" s="238"/>
      <c r="E32" s="238"/>
      <c r="F32" s="238"/>
      <c r="G32" s="238"/>
      <c r="H32" s="238"/>
      <c r="I32" s="224" t="s">
        <v>526</v>
      </c>
      <c r="J32" s="224"/>
    </row>
    <row r="33" spans="1:10" x14ac:dyDescent="0.35">
      <c r="A33" s="229">
        <v>0.85902777777777772</v>
      </c>
      <c r="B33" s="250" t="s">
        <v>504</v>
      </c>
      <c r="C33" s="238" t="s">
        <v>527</v>
      </c>
      <c r="D33" s="238"/>
      <c r="E33" s="238"/>
      <c r="F33" s="238"/>
      <c r="G33" s="238"/>
      <c r="H33" s="226" t="s">
        <v>528</v>
      </c>
      <c r="I33" s="234" t="s">
        <v>529</v>
      </c>
      <c r="J33" s="234"/>
    </row>
    <row r="34" spans="1:10" x14ac:dyDescent="0.35">
      <c r="A34" s="229">
        <v>0.87986111111111109</v>
      </c>
      <c r="B34" s="250" t="s">
        <v>504</v>
      </c>
      <c r="C34" s="240" t="s">
        <v>530</v>
      </c>
      <c r="D34" s="240"/>
      <c r="E34" s="240"/>
      <c r="F34" s="240"/>
      <c r="G34" s="240"/>
      <c r="H34" s="226"/>
      <c r="I34" s="230"/>
      <c r="J34" s="230"/>
    </row>
    <row r="35" spans="1:10" x14ac:dyDescent="0.35">
      <c r="A35" s="229">
        <v>0.88194444444444442</v>
      </c>
      <c r="B35" s="222"/>
      <c r="C35" s="240" t="s">
        <v>531</v>
      </c>
      <c r="D35" s="227"/>
      <c r="E35" s="222"/>
      <c r="F35" s="222"/>
      <c r="G35" s="222"/>
      <c r="H35" s="226" t="s">
        <v>532</v>
      </c>
      <c r="I35" s="224" t="s">
        <v>533</v>
      </c>
      <c r="J35" s="224"/>
    </row>
    <row r="36" spans="1:10" ht="45.75" customHeight="1" x14ac:dyDescent="0.35">
      <c r="A36" s="251"/>
      <c r="B36" s="251"/>
      <c r="C36" s="251"/>
      <c r="D36" s="251"/>
      <c r="E36" s="251"/>
      <c r="F36" s="251"/>
      <c r="G36" s="251"/>
      <c r="H36" s="251"/>
      <c r="I36" s="251"/>
      <c r="J36" s="251"/>
    </row>
    <row r="37" spans="1:10" x14ac:dyDescent="0.35">
      <c r="A37" s="251"/>
      <c r="B37" s="251"/>
      <c r="C37" s="251"/>
      <c r="D37" s="251"/>
      <c r="E37" s="252"/>
      <c r="F37" s="252"/>
      <c r="G37" s="253"/>
      <c r="H37" s="253"/>
      <c r="I37" s="254"/>
      <c r="J37" s="254"/>
    </row>
    <row r="38" spans="1:10" ht="13.5" customHeight="1" x14ac:dyDescent="0.35">
      <c r="A38" s="251"/>
      <c r="B38" s="251"/>
      <c r="C38" s="251"/>
      <c r="D38" s="255"/>
      <c r="E38" s="252"/>
      <c r="F38" s="252"/>
      <c r="G38" s="252"/>
      <c r="H38" s="256"/>
      <c r="I38" s="254"/>
      <c r="J38" s="254"/>
    </row>
    <row r="39" spans="1:10" ht="3.75" customHeight="1" x14ac:dyDescent="0.35">
      <c r="D39" s="255"/>
      <c r="E39" s="252"/>
      <c r="F39" s="252"/>
      <c r="G39" s="257"/>
      <c r="H39" s="257"/>
      <c r="I39" s="258"/>
      <c r="J39" s="258"/>
    </row>
    <row r="40" spans="1:10" x14ac:dyDescent="0.35">
      <c r="A40" s="259"/>
      <c r="B40" s="260"/>
      <c r="C40" s="261"/>
      <c r="D40" s="262"/>
      <c r="E40" s="263"/>
      <c r="F40" s="263"/>
      <c r="G40" s="263"/>
      <c r="H40" s="256"/>
      <c r="I40" s="254"/>
      <c r="J40" s="254"/>
    </row>
    <row r="41" spans="1:10" x14ac:dyDescent="0.35">
      <c r="A41" s="264"/>
      <c r="B41" s="265"/>
      <c r="C41" s="266"/>
      <c r="D41" s="266"/>
      <c r="E41" s="263"/>
      <c r="F41" s="263"/>
      <c r="G41" s="263"/>
      <c r="H41" s="263"/>
      <c r="I41" s="263"/>
      <c r="J41" s="263"/>
    </row>
    <row r="42" spans="1:10" ht="4.5" customHeight="1" x14ac:dyDescent="0.35">
      <c r="A42" s="265"/>
      <c r="B42" s="265"/>
      <c r="C42" s="267"/>
      <c r="D42" s="267"/>
      <c r="E42" s="268"/>
      <c r="F42" s="268"/>
      <c r="G42" s="268"/>
      <c r="H42" s="268"/>
      <c r="I42" s="268"/>
      <c r="J42" s="268"/>
    </row>
    <row r="43" spans="1:10" x14ac:dyDescent="0.35">
      <c r="A43" s="269"/>
      <c r="B43" s="269"/>
      <c r="C43" s="269"/>
      <c r="D43" s="269"/>
      <c r="E43" s="269"/>
      <c r="F43" s="269"/>
      <c r="G43" s="269"/>
      <c r="H43" s="269"/>
      <c r="I43" s="269"/>
      <c r="J43" s="269"/>
    </row>
    <row r="44" spans="1:10" ht="9" customHeight="1" x14ac:dyDescent="0.35">
      <c r="A44" s="270"/>
      <c r="B44" s="270"/>
      <c r="C44" s="270"/>
      <c r="D44" s="270"/>
      <c r="E44" s="270"/>
      <c r="F44" s="270"/>
      <c r="G44" s="271"/>
      <c r="H44" s="271"/>
      <c r="I44" s="272"/>
      <c r="J44" s="272"/>
    </row>
    <row r="45" spans="1:10" ht="15.75" customHeight="1" x14ac:dyDescent="0.35">
      <c r="A45" s="259"/>
      <c r="B45" s="265"/>
      <c r="C45" s="273"/>
      <c r="D45" s="273"/>
      <c r="E45" s="273"/>
      <c r="F45" s="273"/>
      <c r="G45" s="273"/>
      <c r="H45" s="252"/>
      <c r="I45" s="254"/>
      <c r="J45" s="254"/>
    </row>
    <row r="46" spans="1:10" x14ac:dyDescent="0.35">
      <c r="A46" s="259"/>
      <c r="B46" s="265"/>
      <c r="C46" s="266"/>
      <c r="D46" s="266"/>
      <c r="E46" s="266"/>
      <c r="F46" s="252"/>
      <c r="G46" s="252"/>
      <c r="H46" s="252"/>
      <c r="I46" s="254"/>
      <c r="J46" s="254"/>
    </row>
    <row r="47" spans="1:10" x14ac:dyDescent="0.35">
      <c r="A47" s="259"/>
      <c r="B47" s="265"/>
      <c r="C47" s="266"/>
      <c r="D47" s="266"/>
      <c r="E47" s="266"/>
      <c r="F47" s="252"/>
      <c r="G47" s="254"/>
      <c r="H47" s="254"/>
      <c r="I47" s="254"/>
      <c r="J47" s="254"/>
    </row>
    <row r="48" spans="1:10" ht="3" customHeight="1" x14ac:dyDescent="0.35">
      <c r="A48" s="267"/>
      <c r="B48" s="267"/>
      <c r="C48" s="267"/>
      <c r="D48" s="267"/>
      <c r="E48" s="267"/>
      <c r="F48" s="267"/>
      <c r="G48" s="267"/>
      <c r="H48" s="267"/>
      <c r="I48" s="267"/>
      <c r="J48" s="267"/>
    </row>
    <row r="49" spans="1:10" x14ac:dyDescent="0.35">
      <c r="A49" s="269"/>
      <c r="B49" s="269"/>
      <c r="C49" s="269"/>
      <c r="D49" s="269"/>
      <c r="E49" s="269"/>
      <c r="F49" s="269"/>
      <c r="G49" s="269"/>
      <c r="H49" s="269"/>
      <c r="I49" s="269"/>
      <c r="J49" s="269"/>
    </row>
    <row r="50" spans="1:10" ht="8.25" customHeight="1" x14ac:dyDescent="0.35">
      <c r="A50" s="267"/>
      <c r="B50" s="267"/>
      <c r="C50" s="267"/>
      <c r="D50" s="267"/>
      <c r="E50" s="267"/>
      <c r="F50" s="267"/>
      <c r="G50" s="272"/>
      <c r="H50" s="272"/>
      <c r="I50" s="272"/>
      <c r="J50" s="272"/>
    </row>
    <row r="51" spans="1:10" ht="13.5" customHeight="1" x14ac:dyDescent="0.35">
      <c r="A51" s="259"/>
      <c r="B51" s="265"/>
      <c r="C51" s="274"/>
      <c r="D51" s="274"/>
      <c r="E51" s="252"/>
      <c r="F51" s="252"/>
      <c r="G51" s="254"/>
      <c r="H51" s="254"/>
      <c r="I51" s="254"/>
      <c r="J51" s="254"/>
    </row>
    <row r="52" spans="1:10" ht="13.5" customHeight="1" x14ac:dyDescent="0.35">
      <c r="A52" s="275"/>
      <c r="B52" s="276"/>
      <c r="C52" s="276"/>
      <c r="D52" s="276"/>
      <c r="E52" s="276"/>
      <c r="F52" s="276"/>
      <c r="G52" s="267"/>
      <c r="H52" s="267"/>
      <c r="I52" s="267"/>
      <c r="J52" s="267"/>
    </row>
    <row r="53" spans="1:10" ht="2.25" customHeight="1" x14ac:dyDescent="0.35">
      <c r="A53" s="275"/>
      <c r="B53" s="267"/>
      <c r="C53" s="277"/>
      <c r="D53" s="277"/>
      <c r="E53" s="277"/>
      <c r="F53" s="277"/>
      <c r="G53" s="267"/>
      <c r="H53" s="267"/>
      <c r="I53" s="267"/>
      <c r="J53" s="267"/>
    </row>
    <row r="54" spans="1:10" ht="14.25" customHeight="1" x14ac:dyDescent="0.35">
      <c r="A54" s="259"/>
      <c r="B54" s="278"/>
      <c r="C54" s="266"/>
      <c r="D54" s="266"/>
      <c r="E54" s="252"/>
      <c r="F54" s="252"/>
      <c r="G54" s="254"/>
      <c r="H54" s="254"/>
      <c r="I54" s="254"/>
      <c r="J54" s="254"/>
    </row>
    <row r="55" spans="1:10" ht="13.5" customHeight="1" x14ac:dyDescent="0.35">
      <c r="A55" s="275"/>
      <c r="B55" s="276"/>
      <c r="C55" s="276"/>
      <c r="D55" s="276"/>
      <c r="E55" s="276"/>
      <c r="F55" s="276"/>
      <c r="G55" s="267"/>
      <c r="H55" s="267"/>
      <c r="I55" s="267"/>
      <c r="J55" s="267"/>
    </row>
    <row r="56" spans="1:10" ht="2.25" customHeight="1" x14ac:dyDescent="0.35">
      <c r="A56" s="267"/>
      <c r="B56" s="267"/>
      <c r="C56" s="267"/>
      <c r="D56" s="267"/>
      <c r="E56" s="267"/>
      <c r="F56" s="267"/>
      <c r="G56" s="267"/>
      <c r="H56" s="267"/>
      <c r="I56" s="267"/>
      <c r="J56" s="267"/>
    </row>
    <row r="57" spans="1:10" ht="14.25" customHeight="1" x14ac:dyDescent="0.35">
      <c r="A57" s="259"/>
      <c r="B57" s="278"/>
      <c r="C57" s="266"/>
      <c r="D57" s="266"/>
      <c r="E57" s="252"/>
      <c r="F57" s="252"/>
      <c r="G57" s="254"/>
      <c r="H57" s="254"/>
      <c r="I57" s="254"/>
      <c r="J57" s="254"/>
    </row>
    <row r="58" spans="1:10" ht="12.75" customHeight="1" x14ac:dyDescent="0.35">
      <c r="A58" s="275"/>
      <c r="B58" s="276"/>
      <c r="C58" s="276"/>
      <c r="D58" s="276"/>
      <c r="E58" s="276"/>
      <c r="F58" s="276"/>
      <c r="G58" s="276"/>
      <c r="H58" s="267"/>
      <c r="I58" s="267"/>
      <c r="J58" s="267"/>
    </row>
    <row r="59" spans="1:10" x14ac:dyDescent="0.35">
      <c r="A59" s="269"/>
      <c r="B59" s="269"/>
      <c r="C59" s="269"/>
      <c r="D59" s="269"/>
      <c r="E59" s="269"/>
      <c r="F59" s="269"/>
      <c r="G59" s="269"/>
      <c r="H59" s="269"/>
      <c r="I59" s="269"/>
      <c r="J59" s="269"/>
    </row>
    <row r="60" spans="1:10" ht="9.75" customHeight="1" x14ac:dyDescent="0.35">
      <c r="A60" s="259"/>
      <c r="B60" s="267"/>
      <c r="C60" s="279"/>
      <c r="D60" s="262"/>
      <c r="E60" s="267"/>
      <c r="F60" s="267"/>
      <c r="G60" s="267"/>
      <c r="H60" s="267"/>
      <c r="I60" s="267"/>
      <c r="J60" s="267"/>
    </row>
    <row r="61" spans="1:10" ht="7.5" customHeight="1" x14ac:dyDescent="0.35">
      <c r="A61" s="259"/>
      <c r="B61" s="267"/>
      <c r="C61" s="267"/>
      <c r="D61" s="280"/>
      <c r="E61" s="267"/>
      <c r="F61" s="267"/>
      <c r="G61" s="267"/>
      <c r="H61" s="267"/>
      <c r="I61" s="272"/>
      <c r="J61" s="272"/>
    </row>
    <row r="62" spans="1:10" ht="12.75" customHeight="1" x14ac:dyDescent="0.35">
      <c r="A62" s="259"/>
      <c r="B62" s="267"/>
      <c r="C62" s="261"/>
      <c r="D62" s="261"/>
      <c r="E62" s="261"/>
      <c r="F62" s="261"/>
      <c r="G62" s="261"/>
      <c r="H62" s="252"/>
      <c r="I62" s="254"/>
      <c r="J62" s="254"/>
    </row>
    <row r="63" spans="1:10" ht="12" customHeight="1" x14ac:dyDescent="0.35">
      <c r="A63" s="259"/>
      <c r="B63" s="267"/>
      <c r="C63" s="261"/>
      <c r="D63" s="261"/>
      <c r="E63" s="261"/>
      <c r="F63" s="261"/>
      <c r="G63" s="281"/>
      <c r="H63" s="252"/>
      <c r="I63" s="254"/>
      <c r="J63" s="254"/>
    </row>
    <row r="64" spans="1:10" ht="10.5" customHeight="1" x14ac:dyDescent="0.35">
      <c r="A64" s="282"/>
      <c r="B64" s="267"/>
      <c r="C64" s="267"/>
      <c r="D64" s="267"/>
      <c r="E64" s="267"/>
      <c r="F64" s="267"/>
      <c r="G64" s="267"/>
      <c r="H64" s="283"/>
      <c r="I64" s="254"/>
      <c r="J64" s="254"/>
    </row>
    <row r="65" spans="1:10" ht="12.75" customHeight="1" x14ac:dyDescent="0.35">
      <c r="A65" s="259"/>
      <c r="B65" s="267"/>
      <c r="C65" s="266"/>
      <c r="D65" s="266"/>
      <c r="E65" s="267"/>
      <c r="F65" s="267"/>
      <c r="G65" s="267"/>
      <c r="H65" s="267"/>
      <c r="I65" s="284"/>
      <c r="J65" s="284"/>
    </row>
    <row r="66" spans="1:10" ht="11.25" customHeight="1" x14ac:dyDescent="0.35">
      <c r="A66" s="259"/>
      <c r="B66" s="267"/>
      <c r="C66" s="261"/>
      <c r="D66" s="262"/>
      <c r="E66" s="267"/>
      <c r="F66" s="267"/>
      <c r="G66" s="267"/>
      <c r="H66" s="257"/>
      <c r="I66" s="254"/>
      <c r="J66" s="254"/>
    </row>
    <row r="67" spans="1:10" ht="33.75" customHeight="1" x14ac:dyDescent="0.35">
      <c r="A67" s="285"/>
      <c r="B67" s="285"/>
      <c r="C67" s="285"/>
      <c r="D67" s="285"/>
      <c r="E67" s="285"/>
      <c r="F67" s="285"/>
      <c r="G67" s="285"/>
      <c r="H67" s="285"/>
      <c r="I67" s="285"/>
      <c r="J67" s="285"/>
    </row>
    <row r="68" spans="1:10" ht="1.5" customHeight="1" x14ac:dyDescent="0.35">
      <c r="A68" s="285"/>
      <c r="B68" s="285"/>
      <c r="C68" s="285"/>
      <c r="D68" s="285"/>
      <c r="E68" s="285"/>
      <c r="F68" s="285"/>
      <c r="G68" s="285"/>
      <c r="H68" s="285"/>
      <c r="I68" s="285"/>
      <c r="J68" s="285"/>
    </row>
    <row r="69" spans="1:10" x14ac:dyDescent="0.35">
      <c r="A69" s="286"/>
      <c r="B69" s="286"/>
      <c r="C69" s="286"/>
      <c r="D69" s="286"/>
      <c r="E69" s="252"/>
      <c r="F69" s="252"/>
      <c r="G69" s="253"/>
      <c r="H69" s="253"/>
      <c r="I69" s="254"/>
      <c r="J69" s="254"/>
    </row>
    <row r="70" spans="1:10" x14ac:dyDescent="0.35">
      <c r="A70" s="251"/>
      <c r="B70" s="251"/>
      <c r="C70" s="251"/>
      <c r="D70" s="287"/>
      <c r="E70" s="252"/>
      <c r="F70" s="252"/>
      <c r="G70" s="253"/>
      <c r="H70" s="253"/>
      <c r="I70" s="254"/>
      <c r="J70" s="254"/>
    </row>
    <row r="71" spans="1:10" ht="3.75" customHeight="1" x14ac:dyDescent="0.35">
      <c r="A71" s="288"/>
      <c r="B71" s="288"/>
      <c r="C71" s="288"/>
      <c r="D71" s="288"/>
      <c r="E71" s="288"/>
      <c r="F71" s="288"/>
      <c r="G71" s="288"/>
      <c r="H71" s="288"/>
      <c r="I71" s="288"/>
      <c r="J71" s="288"/>
    </row>
    <row r="72" spans="1:10" x14ac:dyDescent="0.35">
      <c r="A72" s="259"/>
      <c r="B72" s="260"/>
      <c r="C72" s="261"/>
      <c r="D72" s="262"/>
      <c r="E72" s="263"/>
      <c r="F72" s="263"/>
      <c r="G72" s="263"/>
      <c r="H72" s="256"/>
      <c r="I72" s="254"/>
      <c r="J72" s="254"/>
    </row>
    <row r="73" spans="1:10" x14ac:dyDescent="0.35">
      <c r="A73" s="264"/>
      <c r="B73" s="265"/>
      <c r="C73" s="266"/>
      <c r="D73" s="266"/>
      <c r="E73" s="263"/>
      <c r="F73" s="263"/>
      <c r="G73" s="263"/>
      <c r="H73" s="263"/>
      <c r="I73" s="263"/>
      <c r="J73" s="263"/>
    </row>
    <row r="74" spans="1:10" ht="3" customHeight="1" x14ac:dyDescent="0.35">
      <c r="A74" s="265"/>
      <c r="B74" s="265"/>
      <c r="C74" s="267"/>
      <c r="D74" s="267"/>
      <c r="E74" s="268"/>
      <c r="F74" s="268"/>
      <c r="G74" s="268"/>
      <c r="H74" s="268"/>
      <c r="I74" s="268"/>
      <c r="J74" s="268"/>
    </row>
    <row r="75" spans="1:10" x14ac:dyDescent="0.35">
      <c r="A75" s="269"/>
      <c r="B75" s="269"/>
      <c r="C75" s="289"/>
      <c r="D75" s="289"/>
      <c r="E75" s="289"/>
      <c r="F75" s="289"/>
      <c r="G75" s="289"/>
      <c r="H75" s="289"/>
      <c r="I75" s="289"/>
      <c r="J75" s="289"/>
    </row>
    <row r="76" spans="1:10" ht="8.25" customHeight="1" x14ac:dyDescent="0.35">
      <c r="A76" s="270"/>
      <c r="B76" s="270"/>
      <c r="C76" s="270"/>
      <c r="D76" s="270"/>
      <c r="E76" s="270"/>
      <c r="F76" s="270"/>
      <c r="G76" s="272"/>
      <c r="H76" s="272"/>
      <c r="I76" s="272"/>
      <c r="J76" s="272"/>
    </row>
    <row r="77" spans="1:10" ht="15.75" customHeight="1" x14ac:dyDescent="0.35">
      <c r="A77" s="259"/>
      <c r="B77" s="265"/>
      <c r="C77" s="290"/>
      <c r="D77" s="290"/>
      <c r="E77" s="290"/>
      <c r="F77" s="290"/>
      <c r="G77" s="290"/>
      <c r="H77" s="284"/>
      <c r="I77" s="254"/>
      <c r="J77" s="254"/>
    </row>
    <row r="78" spans="1:10" x14ac:dyDescent="0.35">
      <c r="A78" s="259"/>
      <c r="B78" s="265"/>
      <c r="C78" s="266"/>
      <c r="D78" s="266"/>
      <c r="E78" s="266"/>
      <c r="F78" s="252"/>
      <c r="G78" s="284"/>
      <c r="H78" s="284"/>
      <c r="I78" s="254"/>
      <c r="J78" s="254"/>
    </row>
    <row r="79" spans="1:10" x14ac:dyDescent="0.35">
      <c r="A79" s="259"/>
      <c r="B79" s="265"/>
      <c r="C79" s="266"/>
      <c r="D79" s="266"/>
      <c r="E79" s="266"/>
      <c r="F79" s="252"/>
      <c r="G79" s="254"/>
      <c r="H79" s="254"/>
      <c r="I79" s="254"/>
      <c r="J79" s="254"/>
    </row>
    <row r="80" spans="1:10" ht="3.75" customHeight="1" x14ac:dyDescent="0.35">
      <c r="A80" s="267"/>
      <c r="B80" s="267"/>
      <c r="C80" s="267"/>
      <c r="D80" s="267"/>
      <c r="E80" s="267"/>
      <c r="F80" s="267"/>
      <c r="G80" s="267"/>
      <c r="H80" s="267"/>
      <c r="I80" s="267"/>
      <c r="J80" s="267"/>
    </row>
    <row r="81" spans="1:10" x14ac:dyDescent="0.35">
      <c r="A81" s="269"/>
      <c r="B81" s="269"/>
      <c r="C81" s="269"/>
      <c r="D81" s="269"/>
      <c r="E81" s="269"/>
      <c r="F81" s="269"/>
      <c r="G81" s="269"/>
      <c r="H81" s="269"/>
      <c r="I81" s="269"/>
      <c r="J81" s="269"/>
    </row>
    <row r="82" spans="1:10" ht="9" customHeight="1" x14ac:dyDescent="0.35">
      <c r="A82" s="267"/>
      <c r="B82" s="267"/>
      <c r="C82" s="267"/>
      <c r="D82" s="267"/>
      <c r="E82" s="267"/>
      <c r="F82" s="267"/>
      <c r="G82" s="272"/>
      <c r="H82" s="272"/>
      <c r="I82" s="272"/>
      <c r="J82" s="272"/>
    </row>
    <row r="83" spans="1:10" x14ac:dyDescent="0.35">
      <c r="A83" s="259"/>
      <c r="B83" s="265"/>
      <c r="C83" s="274"/>
      <c r="D83" s="274"/>
      <c r="E83" s="252"/>
      <c r="F83" s="252"/>
      <c r="G83" s="254"/>
      <c r="H83" s="254"/>
      <c r="I83" s="254"/>
      <c r="J83" s="254"/>
    </row>
    <row r="84" spans="1:10" ht="12" customHeight="1" x14ac:dyDescent="0.35">
      <c r="A84" s="275"/>
      <c r="B84" s="291"/>
      <c r="C84" s="291"/>
      <c r="D84" s="291"/>
      <c r="E84" s="291"/>
      <c r="F84" s="291"/>
      <c r="G84" s="284"/>
      <c r="H84" s="284"/>
      <c r="I84" s="284"/>
      <c r="J84" s="284"/>
    </row>
    <row r="85" spans="1:10" ht="3" customHeight="1" x14ac:dyDescent="0.35">
      <c r="A85" s="275"/>
      <c r="B85" s="267"/>
      <c r="C85" s="277"/>
      <c r="D85" s="277"/>
      <c r="E85" s="277"/>
      <c r="F85" s="277"/>
      <c r="G85" s="284"/>
      <c r="H85" s="284"/>
      <c r="I85" s="284"/>
      <c r="J85" s="284"/>
    </row>
    <row r="86" spans="1:10" x14ac:dyDescent="0.35">
      <c r="A86" s="259"/>
      <c r="B86" s="278"/>
      <c r="C86" s="274"/>
      <c r="D86" s="274"/>
      <c r="E86" s="252"/>
      <c r="F86" s="252"/>
      <c r="G86" s="254"/>
      <c r="H86" s="254"/>
      <c r="I86" s="254"/>
      <c r="J86" s="254"/>
    </row>
    <row r="87" spans="1:10" ht="11.25" customHeight="1" x14ac:dyDescent="0.35">
      <c r="A87" s="275"/>
      <c r="B87" s="291"/>
      <c r="C87" s="291"/>
      <c r="D87" s="291"/>
      <c r="E87" s="291"/>
      <c r="F87" s="291"/>
      <c r="G87" s="284"/>
      <c r="H87" s="284"/>
      <c r="I87" s="284"/>
      <c r="J87" s="284"/>
    </row>
    <row r="88" spans="1:10" ht="4.5" customHeight="1" x14ac:dyDescent="0.35">
      <c r="A88" s="275"/>
      <c r="B88" s="267"/>
      <c r="C88" s="267"/>
      <c r="D88" s="267"/>
      <c r="E88" s="267"/>
      <c r="F88" s="267"/>
      <c r="G88" s="284"/>
      <c r="H88" s="284"/>
      <c r="I88" s="292"/>
      <c r="J88" s="292"/>
    </row>
    <row r="89" spans="1:10" x14ac:dyDescent="0.35">
      <c r="A89" s="259"/>
      <c r="B89" s="278"/>
      <c r="C89" s="274"/>
      <c r="D89" s="274"/>
      <c r="E89" s="252"/>
      <c r="F89" s="252"/>
      <c r="G89" s="254"/>
      <c r="H89" s="254"/>
      <c r="I89" s="254"/>
      <c r="J89" s="254"/>
    </row>
    <row r="90" spans="1:10" ht="11.25" customHeight="1" x14ac:dyDescent="0.35">
      <c r="A90" s="275"/>
      <c r="B90" s="291"/>
      <c r="C90" s="291"/>
      <c r="D90" s="291"/>
      <c r="E90" s="291"/>
      <c r="F90" s="291"/>
      <c r="G90" s="284"/>
      <c r="H90" s="284"/>
      <c r="I90" s="284"/>
      <c r="J90" s="284"/>
    </row>
    <row r="91" spans="1:10" ht="3" customHeight="1" x14ac:dyDescent="0.35">
      <c r="A91" s="267"/>
      <c r="B91" s="267"/>
      <c r="C91" s="267"/>
      <c r="D91" s="267"/>
      <c r="E91" s="267"/>
      <c r="F91" s="267"/>
      <c r="G91" s="284"/>
      <c r="H91" s="284"/>
      <c r="I91" s="284"/>
      <c r="J91" s="284"/>
    </row>
    <row r="92" spans="1:10" x14ac:dyDescent="0.35">
      <c r="A92" s="259"/>
      <c r="B92" s="278"/>
      <c r="C92" s="274"/>
      <c r="D92" s="274"/>
      <c r="E92" s="252"/>
      <c r="F92" s="252"/>
      <c r="G92" s="254"/>
      <c r="H92" s="254"/>
      <c r="I92" s="254"/>
      <c r="J92" s="254"/>
    </row>
    <row r="93" spans="1:10" ht="11.25" customHeight="1" x14ac:dyDescent="0.35">
      <c r="A93" s="275"/>
      <c r="B93" s="291"/>
      <c r="C93" s="291"/>
      <c r="D93" s="291"/>
      <c r="E93" s="291"/>
      <c r="F93" s="291"/>
      <c r="G93" s="284"/>
      <c r="H93" s="284"/>
      <c r="I93" s="284"/>
      <c r="J93" s="284"/>
    </row>
    <row r="94" spans="1:10" x14ac:dyDescent="0.35">
      <c r="A94" s="269"/>
      <c r="B94" s="269"/>
      <c r="C94" s="269"/>
      <c r="D94" s="269"/>
      <c r="E94" s="269"/>
      <c r="F94" s="269"/>
      <c r="G94" s="269"/>
      <c r="H94" s="269"/>
      <c r="I94" s="269"/>
      <c r="J94" s="269"/>
    </row>
    <row r="95" spans="1:10" x14ac:dyDescent="0.35">
      <c r="A95" s="259"/>
      <c r="B95" s="267"/>
      <c r="C95" s="274"/>
      <c r="D95" s="262"/>
      <c r="E95" s="267"/>
      <c r="F95" s="267"/>
      <c r="G95" s="267"/>
      <c r="H95" s="267"/>
      <c r="I95" s="267"/>
      <c r="J95" s="267"/>
    </row>
    <row r="96" spans="1:10" ht="8.25" customHeight="1" x14ac:dyDescent="0.35">
      <c r="A96" s="259"/>
      <c r="B96" s="267"/>
      <c r="C96" s="267"/>
      <c r="D96" s="280"/>
      <c r="E96" s="267"/>
      <c r="F96" s="267"/>
      <c r="G96" s="267"/>
      <c r="H96" s="267"/>
      <c r="I96" s="272"/>
      <c r="J96" s="272"/>
    </row>
    <row r="97" spans="1:10" ht="15.75" customHeight="1" x14ac:dyDescent="0.35">
      <c r="A97" s="259"/>
      <c r="B97" s="267"/>
      <c r="C97" s="293"/>
      <c r="D97" s="293"/>
      <c r="E97" s="293"/>
      <c r="F97" s="293"/>
      <c r="G97" s="293"/>
      <c r="H97" s="252"/>
      <c r="I97" s="254"/>
      <c r="J97" s="254"/>
    </row>
    <row r="98" spans="1:10" x14ac:dyDescent="0.35">
      <c r="A98" s="259"/>
      <c r="B98" s="267"/>
      <c r="C98" s="274"/>
      <c r="D98" s="274"/>
      <c r="E98" s="274"/>
      <c r="F98" s="274"/>
      <c r="G98" s="281"/>
      <c r="H98" s="252"/>
      <c r="I98" s="254"/>
      <c r="J98" s="254"/>
    </row>
    <row r="99" spans="1:10" ht="10.5" customHeight="1" x14ac:dyDescent="0.35">
      <c r="A99" s="282"/>
      <c r="B99" s="267"/>
      <c r="C99" s="267"/>
      <c r="D99" s="267"/>
      <c r="E99" s="267"/>
      <c r="F99" s="267"/>
      <c r="G99" s="267"/>
      <c r="H99" s="283"/>
      <c r="I99" s="254"/>
      <c r="J99" s="254"/>
    </row>
    <row r="100" spans="1:10" ht="12" customHeight="1" x14ac:dyDescent="0.35">
      <c r="A100" s="282"/>
      <c r="B100" s="267"/>
      <c r="C100" s="267"/>
      <c r="D100" s="267"/>
      <c r="E100" s="267"/>
      <c r="F100" s="267"/>
      <c r="G100" s="267"/>
      <c r="H100" s="257"/>
      <c r="I100" s="254"/>
      <c r="J100" s="254"/>
    </row>
    <row r="101" spans="1:10" x14ac:dyDescent="0.35">
      <c r="A101" s="259"/>
      <c r="B101" s="267"/>
      <c r="C101" s="266"/>
      <c r="D101" s="266"/>
      <c r="E101" s="267"/>
      <c r="F101" s="267"/>
      <c r="G101" s="267"/>
      <c r="H101" s="267"/>
      <c r="I101" s="254"/>
      <c r="J101" s="254"/>
    </row>
    <row r="102" spans="1:10" x14ac:dyDescent="0.35">
      <c r="A102" s="259"/>
      <c r="B102" s="267"/>
      <c r="C102" s="261"/>
      <c r="D102" s="262"/>
      <c r="E102" s="267"/>
      <c r="F102" s="267"/>
      <c r="G102" s="267"/>
      <c r="H102" s="257"/>
      <c r="I102" s="254"/>
      <c r="J102" s="254"/>
    </row>
    <row r="103" spans="1:10" ht="12.75" customHeight="1" x14ac:dyDescent="0.35">
      <c r="A103" s="219"/>
      <c r="B103" s="219"/>
      <c r="C103" s="219"/>
      <c r="D103" s="219"/>
      <c r="E103" s="219"/>
      <c r="F103" s="219"/>
      <c r="G103" s="219"/>
      <c r="H103" s="219"/>
      <c r="I103" s="219"/>
      <c r="J103" s="219"/>
    </row>
    <row r="104" spans="1:10" ht="35.25" customHeight="1" x14ac:dyDescent="0.35">
      <c r="A104" s="219"/>
      <c r="B104" s="219"/>
      <c r="C104" s="219"/>
      <c r="D104" s="219"/>
      <c r="E104" s="219"/>
      <c r="F104" s="219"/>
      <c r="G104" s="219"/>
      <c r="H104" s="219"/>
      <c r="I104" s="219"/>
      <c r="J104" s="219"/>
    </row>
    <row r="105" spans="1:10" x14ac:dyDescent="0.35">
      <c r="A105" s="286"/>
      <c r="B105" s="286"/>
      <c r="C105" s="286"/>
      <c r="D105" s="286"/>
      <c r="E105" s="252"/>
      <c r="F105" s="252"/>
      <c r="G105" s="253"/>
      <c r="H105" s="253"/>
      <c r="I105" s="254"/>
      <c r="J105" s="254"/>
    </row>
    <row r="106" spans="1:10" x14ac:dyDescent="0.35">
      <c r="A106" s="251"/>
      <c r="B106" s="251"/>
      <c r="C106" s="251"/>
      <c r="D106" s="255"/>
      <c r="E106" s="252"/>
      <c r="F106" s="252"/>
      <c r="G106" s="252"/>
      <c r="H106" s="256"/>
      <c r="I106" s="254"/>
      <c r="J106" s="254"/>
    </row>
    <row r="107" spans="1:10" ht="3.75" customHeight="1" x14ac:dyDescent="0.35">
      <c r="A107" s="288"/>
      <c r="B107" s="288"/>
      <c r="C107" s="288"/>
      <c r="D107" s="288"/>
      <c r="E107" s="288"/>
      <c r="F107" s="288"/>
      <c r="G107" s="288"/>
      <c r="H107" s="288"/>
      <c r="I107" s="288"/>
      <c r="J107" s="288"/>
    </row>
    <row r="108" spans="1:10" x14ac:dyDescent="0.35">
      <c r="A108" s="259"/>
      <c r="B108" s="260"/>
      <c r="C108" s="261"/>
      <c r="D108" s="262"/>
      <c r="E108" s="263"/>
      <c r="F108" s="263"/>
      <c r="G108" s="263"/>
      <c r="H108" s="256"/>
      <c r="I108" s="254"/>
      <c r="J108" s="254"/>
    </row>
    <row r="109" spans="1:10" x14ac:dyDescent="0.35">
      <c r="A109" s="264"/>
      <c r="B109" s="265"/>
      <c r="C109" s="266"/>
      <c r="D109" s="266"/>
      <c r="E109" s="263"/>
      <c r="F109" s="263"/>
      <c r="G109" s="263"/>
      <c r="H109" s="263"/>
      <c r="I109" s="263"/>
      <c r="J109" s="263"/>
    </row>
    <row r="110" spans="1:10" ht="3" customHeight="1" x14ac:dyDescent="0.35">
      <c r="A110" s="265"/>
      <c r="B110" s="265"/>
      <c r="C110" s="267"/>
      <c r="D110" s="267"/>
      <c r="E110" s="268"/>
      <c r="F110" s="268"/>
      <c r="G110" s="268"/>
      <c r="H110" s="268"/>
      <c r="I110" s="268"/>
      <c r="J110" s="268"/>
    </row>
    <row r="111" spans="1:10" ht="12.75" customHeight="1" x14ac:dyDescent="0.35">
      <c r="A111" s="294"/>
      <c r="B111" s="294"/>
      <c r="C111" s="295"/>
      <c r="D111" s="295"/>
      <c r="E111" s="295"/>
      <c r="F111" s="295"/>
      <c r="G111" s="295"/>
      <c r="H111" s="295"/>
      <c r="I111" s="295"/>
      <c r="J111" s="295"/>
    </row>
    <row r="112" spans="1:10" ht="8.25" customHeight="1" x14ac:dyDescent="0.35">
      <c r="A112" s="270"/>
      <c r="B112" s="270"/>
      <c r="C112" s="270"/>
      <c r="D112" s="270"/>
      <c r="E112" s="270"/>
      <c r="F112" s="270"/>
      <c r="G112" s="272"/>
      <c r="H112" s="272"/>
      <c r="I112" s="272"/>
      <c r="J112" s="272"/>
    </row>
    <row r="113" spans="1:10" x14ac:dyDescent="0.35">
      <c r="A113" s="259"/>
      <c r="B113" s="265"/>
      <c r="C113" s="296"/>
      <c r="D113" s="274"/>
      <c r="E113" s="274"/>
      <c r="F113" s="274"/>
      <c r="G113" s="252"/>
      <c r="H113" s="252"/>
      <c r="I113" s="254"/>
      <c r="J113" s="254"/>
    </row>
    <row r="114" spans="1:10" x14ac:dyDescent="0.35">
      <c r="A114" s="259"/>
      <c r="B114" s="265"/>
      <c r="C114" s="266"/>
      <c r="D114" s="266"/>
      <c r="E114" s="266"/>
      <c r="F114" s="252"/>
      <c r="G114" s="252"/>
      <c r="H114" s="252"/>
      <c r="I114" s="254"/>
      <c r="J114" s="254"/>
    </row>
    <row r="115" spans="1:10" x14ac:dyDescent="0.35">
      <c r="A115" s="259"/>
      <c r="B115" s="265"/>
      <c r="C115" s="266"/>
      <c r="D115" s="266"/>
      <c r="E115" s="266"/>
      <c r="F115" s="252"/>
      <c r="G115" s="254"/>
      <c r="H115" s="254"/>
      <c r="I115" s="254"/>
      <c r="J115" s="254"/>
    </row>
    <row r="116" spans="1:10" ht="4.5" customHeight="1" x14ac:dyDescent="0.35">
      <c r="A116" s="267"/>
      <c r="B116" s="267"/>
      <c r="C116" s="267"/>
      <c r="D116" s="267"/>
      <c r="E116" s="267"/>
      <c r="F116" s="267"/>
      <c r="G116" s="267"/>
      <c r="H116" s="267"/>
      <c r="I116" s="267"/>
      <c r="J116" s="267"/>
    </row>
    <row r="117" spans="1:10" ht="12.75" customHeight="1" x14ac:dyDescent="0.35">
      <c r="A117" s="294"/>
      <c r="B117" s="294"/>
      <c r="C117" s="294"/>
      <c r="D117" s="294"/>
      <c r="E117" s="294"/>
      <c r="F117" s="294"/>
      <c r="G117" s="294"/>
      <c r="H117" s="294"/>
      <c r="I117" s="294"/>
      <c r="J117" s="294"/>
    </row>
    <row r="118" spans="1:10" x14ac:dyDescent="0.35">
      <c r="A118" s="259"/>
      <c r="B118" s="265"/>
      <c r="C118" s="274"/>
      <c r="D118" s="274"/>
      <c r="E118" s="252"/>
      <c r="F118" s="252"/>
      <c r="G118" s="254"/>
      <c r="H118" s="254"/>
      <c r="I118" s="254"/>
      <c r="J118" s="254"/>
    </row>
    <row r="119" spans="1:10" ht="12" customHeight="1" x14ac:dyDescent="0.35">
      <c r="A119" s="275"/>
      <c r="B119" s="291"/>
      <c r="C119" s="291"/>
      <c r="D119" s="291"/>
      <c r="E119" s="291"/>
      <c r="F119" s="291"/>
      <c r="G119" s="254"/>
      <c r="H119" s="254"/>
      <c r="I119" s="267"/>
      <c r="J119" s="267"/>
    </row>
    <row r="120" spans="1:10" x14ac:dyDescent="0.35">
      <c r="A120" s="259"/>
      <c r="B120" s="278"/>
      <c r="C120" s="274"/>
      <c r="D120" s="274"/>
      <c r="E120" s="252"/>
      <c r="F120" s="252"/>
      <c r="G120" s="254"/>
      <c r="H120" s="254"/>
      <c r="I120" s="254"/>
      <c r="J120" s="254"/>
    </row>
    <row r="121" spans="1:10" ht="12.75" customHeight="1" x14ac:dyDescent="0.35">
      <c r="A121" s="275"/>
      <c r="B121" s="291"/>
      <c r="C121" s="291"/>
      <c r="D121" s="291"/>
      <c r="E121" s="291"/>
      <c r="F121" s="291"/>
      <c r="G121" s="254"/>
      <c r="H121" s="254"/>
      <c r="I121" s="267"/>
      <c r="J121" s="267"/>
    </row>
    <row r="122" spans="1:10" x14ac:dyDescent="0.35">
      <c r="A122" s="259"/>
      <c r="B122" s="278"/>
      <c r="C122" s="274"/>
      <c r="D122" s="274"/>
      <c r="E122" s="252"/>
      <c r="F122" s="252"/>
      <c r="G122" s="254"/>
      <c r="H122" s="254"/>
      <c r="I122" s="254"/>
      <c r="J122" s="254"/>
    </row>
    <row r="123" spans="1:10" ht="12.75" customHeight="1" x14ac:dyDescent="0.35">
      <c r="A123" s="275"/>
      <c r="B123" s="291"/>
      <c r="C123" s="291"/>
      <c r="D123" s="291"/>
      <c r="E123" s="291"/>
      <c r="F123" s="291"/>
      <c r="G123" s="254"/>
      <c r="H123" s="254"/>
      <c r="I123" s="267"/>
      <c r="J123" s="267"/>
    </row>
    <row r="124" spans="1:10" x14ac:dyDescent="0.35">
      <c r="A124" s="269"/>
      <c r="B124" s="269"/>
      <c r="C124" s="269"/>
      <c r="D124" s="269"/>
      <c r="E124" s="269"/>
      <c r="F124" s="269"/>
      <c r="G124" s="269"/>
      <c r="H124" s="269"/>
      <c r="I124" s="269"/>
      <c r="J124" s="269"/>
    </row>
    <row r="125" spans="1:10" ht="12" customHeight="1" x14ac:dyDescent="0.35">
      <c r="A125" s="259"/>
      <c r="B125" s="267"/>
      <c r="C125" s="279"/>
      <c r="D125" s="262"/>
      <c r="E125" s="267"/>
      <c r="F125" s="267"/>
      <c r="G125" s="267"/>
      <c r="H125" s="267"/>
      <c r="I125" s="267"/>
      <c r="J125" s="267"/>
    </row>
    <row r="126" spans="1:10" ht="9" customHeight="1" x14ac:dyDescent="0.35">
      <c r="A126" s="259"/>
      <c r="B126" s="267"/>
      <c r="C126" s="267"/>
      <c r="D126" s="280"/>
      <c r="E126" s="267"/>
      <c r="F126" s="267"/>
      <c r="G126" s="267"/>
      <c r="H126" s="267"/>
      <c r="I126" s="272"/>
      <c r="J126" s="272"/>
    </row>
    <row r="127" spans="1:10" ht="14.25" customHeight="1" x14ac:dyDescent="0.35">
      <c r="A127" s="259"/>
      <c r="B127" s="267"/>
      <c r="C127" s="274"/>
      <c r="D127" s="274"/>
      <c r="E127" s="297"/>
      <c r="F127" s="297"/>
      <c r="G127" s="297"/>
      <c r="H127" s="252"/>
      <c r="I127" s="254"/>
      <c r="J127" s="254"/>
    </row>
    <row r="128" spans="1:10" ht="13.5" customHeight="1" x14ac:dyDescent="0.35">
      <c r="A128" s="259"/>
      <c r="B128" s="267"/>
      <c r="C128" s="274"/>
      <c r="D128" s="274"/>
      <c r="E128" s="274"/>
      <c r="F128" s="281"/>
      <c r="G128" s="281"/>
      <c r="H128" s="252"/>
      <c r="I128" s="254"/>
      <c r="J128" s="254"/>
    </row>
    <row r="129" spans="1:10" ht="12.75" customHeight="1" x14ac:dyDescent="0.35">
      <c r="A129" s="282"/>
      <c r="B129" s="267"/>
      <c r="C129" s="267"/>
      <c r="D129" s="267"/>
      <c r="E129" s="267"/>
      <c r="F129" s="267"/>
      <c r="G129" s="267"/>
      <c r="H129" s="257"/>
      <c r="I129" s="254"/>
      <c r="J129" s="254"/>
    </row>
    <row r="130" spans="1:10" ht="14.25" customHeight="1" x14ac:dyDescent="0.35">
      <c r="A130" s="259"/>
      <c r="B130" s="267"/>
      <c r="C130" s="266"/>
      <c r="D130" s="266"/>
      <c r="E130" s="267"/>
      <c r="F130" s="267"/>
      <c r="G130" s="267"/>
      <c r="H130" s="267"/>
      <c r="I130" s="267"/>
      <c r="J130" s="267"/>
    </row>
    <row r="131" spans="1:10" ht="15" customHeight="1" x14ac:dyDescent="0.35">
      <c r="A131" s="259"/>
      <c r="B131" s="267"/>
      <c r="C131" s="261"/>
      <c r="D131" s="262"/>
      <c r="E131" s="267"/>
      <c r="F131" s="267"/>
      <c r="G131" s="267"/>
      <c r="H131" s="257"/>
      <c r="I131" s="254"/>
      <c r="J131" s="254"/>
    </row>
    <row r="132" spans="1:10" ht="21" customHeight="1" x14ac:dyDescent="0.35">
      <c r="A132" s="259"/>
      <c r="B132" s="267"/>
      <c r="C132" s="261"/>
      <c r="D132" s="262"/>
      <c r="E132" s="267"/>
      <c r="F132" s="267"/>
      <c r="G132" s="267"/>
      <c r="H132" s="257"/>
      <c r="I132" s="258"/>
      <c r="J132" s="258"/>
    </row>
    <row r="133" spans="1:10" x14ac:dyDescent="0.35">
      <c r="A133" s="219"/>
      <c r="B133" s="219"/>
      <c r="C133" s="219"/>
      <c r="D133" s="219"/>
      <c r="E133" s="219"/>
      <c r="F133" s="219"/>
      <c r="G133" s="219"/>
      <c r="H133" s="219"/>
      <c r="I133" s="219"/>
      <c r="J133" s="219"/>
    </row>
    <row r="134" spans="1:10" x14ac:dyDescent="0.35">
      <c r="A134" s="219"/>
      <c r="B134" s="219"/>
      <c r="C134" s="219"/>
      <c r="D134" s="219"/>
      <c r="E134" s="219"/>
      <c r="F134" s="219"/>
      <c r="G134" s="219"/>
      <c r="H134" s="219"/>
      <c r="I134" s="219"/>
      <c r="J134" s="219"/>
    </row>
    <row r="135" spans="1:10" x14ac:dyDescent="0.35">
      <c r="A135" s="286"/>
      <c r="B135" s="286"/>
      <c r="C135" s="286"/>
      <c r="D135" s="286"/>
      <c r="E135" s="252"/>
      <c r="F135" s="252"/>
      <c r="G135" s="253"/>
      <c r="H135" s="253"/>
      <c r="I135" s="254"/>
      <c r="J135" s="254"/>
    </row>
    <row r="136" spans="1:10" x14ac:dyDescent="0.35">
      <c r="A136" s="251"/>
      <c r="B136" s="251"/>
      <c r="C136" s="251"/>
      <c r="D136" s="255"/>
      <c r="E136" s="252"/>
      <c r="F136" s="252"/>
      <c r="G136" s="252"/>
      <c r="H136" s="256"/>
      <c r="I136" s="254"/>
      <c r="J136" s="254"/>
    </row>
    <row r="137" spans="1:10" ht="7.5" customHeight="1" x14ac:dyDescent="0.35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</row>
    <row r="138" spans="1:10" x14ac:dyDescent="0.35">
      <c r="A138" s="259"/>
      <c r="B138" s="260"/>
      <c r="C138" s="261"/>
      <c r="D138" s="262"/>
      <c r="E138" s="263"/>
      <c r="F138" s="263"/>
      <c r="G138" s="263"/>
      <c r="H138" s="256"/>
      <c r="I138" s="254"/>
      <c r="J138" s="254"/>
    </row>
    <row r="139" spans="1:10" x14ac:dyDescent="0.35">
      <c r="A139" s="264"/>
      <c r="B139" s="265"/>
      <c r="C139" s="266"/>
      <c r="D139" s="266"/>
      <c r="E139" s="263"/>
      <c r="F139" s="263"/>
      <c r="G139" s="263"/>
      <c r="H139" s="263"/>
      <c r="I139" s="263"/>
      <c r="J139" s="263"/>
    </row>
    <row r="140" spans="1:10" x14ac:dyDescent="0.35">
      <c r="A140" s="265"/>
      <c r="B140" s="265"/>
      <c r="C140" s="267"/>
      <c r="D140" s="267"/>
      <c r="E140" s="268"/>
      <c r="F140" s="268"/>
      <c r="G140" s="268"/>
      <c r="H140" s="268"/>
      <c r="I140" s="268"/>
      <c r="J140" s="268"/>
    </row>
    <row r="141" spans="1:10" x14ac:dyDescent="0.35">
      <c r="A141" s="298" t="s">
        <v>503</v>
      </c>
      <c r="B141" s="298"/>
      <c r="C141" s="299"/>
      <c r="D141" s="299"/>
      <c r="E141" s="299"/>
      <c r="F141" s="299"/>
      <c r="G141" s="299"/>
      <c r="H141" s="299"/>
      <c r="I141" s="299"/>
      <c r="J141" s="299"/>
    </row>
    <row r="142" spans="1:10" ht="7.5" customHeight="1" x14ac:dyDescent="0.35">
      <c r="A142" s="270"/>
      <c r="B142" s="270"/>
      <c r="C142" s="270"/>
      <c r="D142" s="270"/>
      <c r="E142" s="270"/>
      <c r="F142" s="270"/>
      <c r="G142" s="272"/>
      <c r="H142" s="272"/>
      <c r="I142" s="272" t="s">
        <v>534</v>
      </c>
      <c r="J142" s="272"/>
    </row>
    <row r="143" spans="1:10" x14ac:dyDescent="0.35">
      <c r="A143" s="259">
        <v>0.81666666666666676</v>
      </c>
      <c r="B143" s="265"/>
      <c r="C143" s="274" t="s">
        <v>535</v>
      </c>
      <c r="D143" s="274"/>
      <c r="E143" s="274"/>
      <c r="F143" s="274"/>
      <c r="G143" s="252"/>
      <c r="H143" s="252"/>
      <c r="I143" s="254" t="s">
        <v>477</v>
      </c>
      <c r="J143" s="254"/>
    </row>
    <row r="144" spans="1:10" x14ac:dyDescent="0.35">
      <c r="A144" s="259">
        <v>0.82361111111111107</v>
      </c>
      <c r="B144" s="265"/>
      <c r="C144" s="266" t="s">
        <v>536</v>
      </c>
      <c r="D144" s="266"/>
      <c r="E144" s="266"/>
      <c r="F144" s="252"/>
      <c r="G144" s="252"/>
      <c r="H144" s="252"/>
      <c r="I144" s="254" t="s">
        <v>430</v>
      </c>
      <c r="J144" s="254"/>
    </row>
    <row r="145" spans="1:10" x14ac:dyDescent="0.35">
      <c r="A145" s="259">
        <v>0.8305555555555556</v>
      </c>
      <c r="B145" s="265"/>
      <c r="C145" s="266" t="s">
        <v>537</v>
      </c>
      <c r="D145" s="266"/>
      <c r="E145" s="266"/>
      <c r="F145" s="252"/>
      <c r="G145" s="254"/>
      <c r="H145" s="254"/>
      <c r="I145" s="254" t="s">
        <v>538</v>
      </c>
      <c r="J145" s="254"/>
    </row>
    <row r="146" spans="1:10" ht="3.75" customHeight="1" x14ac:dyDescent="0.35">
      <c r="A146" s="267"/>
      <c r="B146" s="267"/>
      <c r="C146" s="267"/>
      <c r="D146" s="267"/>
      <c r="E146" s="267"/>
      <c r="F146" s="267"/>
      <c r="G146" s="267"/>
      <c r="H146" s="267"/>
      <c r="I146" s="267"/>
      <c r="J146" s="267"/>
    </row>
    <row r="147" spans="1:10" x14ac:dyDescent="0.35">
      <c r="A147" s="300" t="s">
        <v>512</v>
      </c>
      <c r="B147" s="300"/>
      <c r="C147" s="300"/>
      <c r="D147" s="300"/>
      <c r="E147" s="300"/>
      <c r="F147" s="300"/>
      <c r="G147" s="300"/>
      <c r="H147" s="300"/>
      <c r="I147" s="300"/>
      <c r="J147" s="300"/>
    </row>
    <row r="148" spans="1:10" ht="7.5" customHeight="1" x14ac:dyDescent="0.35">
      <c r="A148" s="267"/>
      <c r="B148" s="267"/>
      <c r="C148" s="267"/>
      <c r="D148" s="267"/>
      <c r="E148" s="267"/>
      <c r="F148" s="267"/>
      <c r="G148" s="272"/>
      <c r="H148" s="272"/>
      <c r="I148" s="272" t="s">
        <v>534</v>
      </c>
      <c r="J148" s="272"/>
    </row>
    <row r="149" spans="1:10" x14ac:dyDescent="0.35">
      <c r="A149" s="259"/>
      <c r="B149" s="265"/>
      <c r="C149" s="274" t="s">
        <v>539</v>
      </c>
      <c r="D149" s="274"/>
      <c r="E149" s="252"/>
      <c r="F149" s="252"/>
      <c r="G149" s="254"/>
      <c r="H149" s="254"/>
      <c r="I149" s="254" t="s">
        <v>540</v>
      </c>
      <c r="J149" s="254"/>
    </row>
    <row r="150" spans="1:10" ht="12" customHeight="1" x14ac:dyDescent="0.35">
      <c r="A150" s="275"/>
      <c r="B150" s="291" t="s">
        <v>541</v>
      </c>
      <c r="C150" s="291"/>
      <c r="D150" s="291"/>
      <c r="E150" s="291"/>
      <c r="F150" s="291"/>
      <c r="G150" s="254"/>
      <c r="H150" s="254"/>
      <c r="I150" s="254"/>
      <c r="J150" s="254"/>
    </row>
    <row r="151" spans="1:10" ht="3.75" customHeight="1" x14ac:dyDescent="0.35">
      <c r="A151" s="275"/>
      <c r="B151" s="267"/>
      <c r="C151" s="277"/>
      <c r="D151" s="277"/>
      <c r="E151" s="277"/>
      <c r="F151" s="277"/>
      <c r="G151" s="254"/>
      <c r="H151" s="254"/>
      <c r="I151" s="254"/>
      <c r="J151" s="254"/>
    </row>
    <row r="152" spans="1:10" x14ac:dyDescent="0.35">
      <c r="A152" s="259"/>
      <c r="B152" s="278"/>
      <c r="C152" s="274" t="s">
        <v>542</v>
      </c>
      <c r="D152" s="274"/>
      <c r="E152" s="252"/>
      <c r="F152" s="252"/>
      <c r="G152" s="254"/>
      <c r="H152" s="254"/>
      <c r="I152" s="254" t="s">
        <v>543</v>
      </c>
      <c r="J152" s="254"/>
    </row>
    <row r="153" spans="1:10" ht="10.5" customHeight="1" x14ac:dyDescent="0.35">
      <c r="A153" s="275"/>
      <c r="B153" s="291" t="s">
        <v>544</v>
      </c>
      <c r="C153" s="291"/>
      <c r="D153" s="291"/>
      <c r="E153" s="291"/>
      <c r="F153" s="291"/>
      <c r="G153" s="254"/>
      <c r="H153" s="254"/>
      <c r="I153" s="254"/>
      <c r="J153" s="254"/>
    </row>
    <row r="154" spans="1:10" ht="4.5" customHeight="1" x14ac:dyDescent="0.35">
      <c r="A154" s="275"/>
      <c r="B154" s="267"/>
      <c r="C154" s="267"/>
      <c r="D154" s="267"/>
      <c r="E154" s="267"/>
      <c r="F154" s="267"/>
      <c r="G154" s="254"/>
      <c r="H154" s="254"/>
      <c r="I154" s="254"/>
      <c r="J154" s="254"/>
    </row>
    <row r="155" spans="1:10" x14ac:dyDescent="0.35">
      <c r="A155" s="259"/>
      <c r="B155" s="278"/>
      <c r="C155" s="274" t="s">
        <v>545</v>
      </c>
      <c r="D155" s="274"/>
      <c r="E155" s="252"/>
      <c r="F155" s="252"/>
      <c r="G155" s="254"/>
      <c r="H155" s="254"/>
      <c r="I155" s="254" t="s">
        <v>514</v>
      </c>
      <c r="J155" s="254"/>
    </row>
    <row r="156" spans="1:10" ht="13.5" customHeight="1" x14ac:dyDescent="0.35">
      <c r="A156" s="275"/>
      <c r="B156" s="291" t="s">
        <v>546</v>
      </c>
      <c r="C156" s="291"/>
      <c r="D156" s="291"/>
      <c r="E156" s="291"/>
      <c r="F156" s="291"/>
      <c r="G156" s="267"/>
      <c r="H156" s="267"/>
      <c r="I156" s="267"/>
      <c r="J156" s="267"/>
    </row>
    <row r="157" spans="1:10" ht="3.75" customHeight="1" x14ac:dyDescent="0.35">
      <c r="A157" s="275"/>
      <c r="B157" s="301"/>
      <c r="C157" s="301"/>
      <c r="D157" s="301"/>
      <c r="E157" s="301"/>
      <c r="F157" s="301"/>
      <c r="G157" s="267"/>
      <c r="H157" s="267"/>
      <c r="I157" s="267"/>
      <c r="J157" s="267"/>
    </row>
    <row r="158" spans="1:10" x14ac:dyDescent="0.35">
      <c r="A158" s="302" t="s">
        <v>523</v>
      </c>
      <c r="B158" s="302"/>
      <c r="C158" s="302"/>
      <c r="D158" s="302"/>
      <c r="E158" s="302"/>
      <c r="F158" s="302"/>
      <c r="G158" s="302"/>
      <c r="H158" s="302"/>
      <c r="I158" s="302"/>
      <c r="J158" s="302"/>
    </row>
    <row r="159" spans="1:10" x14ac:dyDescent="0.35">
      <c r="A159" s="259">
        <v>0.84444444444444444</v>
      </c>
      <c r="B159" s="267"/>
      <c r="C159" s="274" t="s">
        <v>547</v>
      </c>
      <c r="D159" s="262"/>
      <c r="E159" s="267"/>
      <c r="F159" s="267"/>
      <c r="G159" s="267"/>
      <c r="H159" s="267"/>
      <c r="I159" s="267"/>
      <c r="J159" s="267"/>
    </row>
    <row r="160" spans="1:10" x14ac:dyDescent="0.35">
      <c r="A160" s="259"/>
      <c r="B160" s="267"/>
      <c r="C160" s="267"/>
      <c r="D160" s="280"/>
      <c r="E160" s="267"/>
      <c r="F160" s="267"/>
      <c r="G160" s="267"/>
      <c r="H160" s="267"/>
      <c r="I160" s="272" t="s">
        <v>548</v>
      </c>
      <c r="J160" s="272"/>
    </row>
    <row r="161" spans="1:10" ht="15.75" customHeight="1" x14ac:dyDescent="0.35">
      <c r="A161" s="259"/>
      <c r="B161" s="267"/>
      <c r="C161" s="266" t="s">
        <v>549</v>
      </c>
      <c r="D161" s="266"/>
      <c r="E161" s="266"/>
      <c r="F161" s="266"/>
      <c r="G161" s="266"/>
      <c r="H161" s="252"/>
      <c r="I161" s="254" t="s">
        <v>526</v>
      </c>
      <c r="J161" s="254"/>
    </row>
    <row r="162" spans="1:10" ht="15.75" customHeight="1" x14ac:dyDescent="0.35">
      <c r="A162" s="259"/>
      <c r="B162" s="267"/>
      <c r="C162" s="261" t="s">
        <v>550</v>
      </c>
      <c r="D162" s="261"/>
      <c r="E162" s="261"/>
      <c r="F162" s="261"/>
      <c r="G162" s="261"/>
      <c r="H162" s="252"/>
      <c r="I162" s="258"/>
      <c r="J162" s="258"/>
    </row>
    <row r="163" spans="1:10" x14ac:dyDescent="0.35">
      <c r="A163" s="259"/>
      <c r="B163" s="267"/>
      <c r="C163" s="266" t="s">
        <v>551</v>
      </c>
      <c r="D163" s="266"/>
      <c r="E163" s="266"/>
      <c r="F163" s="266"/>
      <c r="G163" s="281"/>
      <c r="H163" s="252"/>
      <c r="I163" s="254" t="s">
        <v>478</v>
      </c>
      <c r="J163" s="254"/>
    </row>
    <row r="164" spans="1:10" x14ac:dyDescent="0.35">
      <c r="A164" s="282"/>
      <c r="B164" s="267"/>
      <c r="C164" s="267"/>
      <c r="D164" s="267"/>
      <c r="E164" s="267"/>
      <c r="F164" s="267"/>
      <c r="G164" s="267"/>
      <c r="H164" s="257" t="s">
        <v>552</v>
      </c>
      <c r="I164" s="254" t="s">
        <v>553</v>
      </c>
      <c r="J164" s="254"/>
    </row>
    <row r="165" spans="1:10" x14ac:dyDescent="0.35">
      <c r="A165" s="259">
        <v>0.87847222222222221</v>
      </c>
      <c r="B165" s="267"/>
      <c r="C165" s="266" t="s">
        <v>554</v>
      </c>
      <c r="D165" s="266"/>
      <c r="E165" s="267"/>
      <c r="F165" s="267"/>
      <c r="G165" s="267"/>
      <c r="H165" s="267"/>
      <c r="I165" s="254"/>
      <c r="J165" s="254"/>
    </row>
    <row r="166" spans="1:10" x14ac:dyDescent="0.35">
      <c r="A166" s="259">
        <v>0.88055555555555554</v>
      </c>
      <c r="B166" s="267"/>
      <c r="C166" s="261" t="s">
        <v>555</v>
      </c>
      <c r="D166" s="262"/>
      <c r="E166" s="267"/>
      <c r="F166" s="267"/>
      <c r="G166" s="267"/>
      <c r="H166" s="257" t="s">
        <v>556</v>
      </c>
      <c r="I166" s="254" t="s">
        <v>443</v>
      </c>
      <c r="J166" s="254"/>
    </row>
  </sheetData>
  <mergeCells count="218">
    <mergeCell ref="C165:D165"/>
    <mergeCell ref="I165:J165"/>
    <mergeCell ref="I166:J166"/>
    <mergeCell ref="I160:J160"/>
    <mergeCell ref="C161:G161"/>
    <mergeCell ref="I161:J161"/>
    <mergeCell ref="C163:F163"/>
    <mergeCell ref="I163:J163"/>
    <mergeCell ref="I164:J164"/>
    <mergeCell ref="G154:H154"/>
    <mergeCell ref="I154:J154"/>
    <mergeCell ref="G155:H155"/>
    <mergeCell ref="I155:J155"/>
    <mergeCell ref="B156:F156"/>
    <mergeCell ref="A158:J158"/>
    <mergeCell ref="G151:H151"/>
    <mergeCell ref="I151:J151"/>
    <mergeCell ref="G152:H152"/>
    <mergeCell ref="I152:J152"/>
    <mergeCell ref="B153:F153"/>
    <mergeCell ref="G153:H153"/>
    <mergeCell ref="I153:J153"/>
    <mergeCell ref="A147:J147"/>
    <mergeCell ref="G148:H148"/>
    <mergeCell ref="I148:J148"/>
    <mergeCell ref="G149:H149"/>
    <mergeCell ref="I149:J149"/>
    <mergeCell ref="B150:F150"/>
    <mergeCell ref="G150:H150"/>
    <mergeCell ref="I150:J150"/>
    <mergeCell ref="I143:J143"/>
    <mergeCell ref="C144:E144"/>
    <mergeCell ref="I144:J144"/>
    <mergeCell ref="C145:E145"/>
    <mergeCell ref="G145:H145"/>
    <mergeCell ref="I145:J145"/>
    <mergeCell ref="A137:J137"/>
    <mergeCell ref="I138:J138"/>
    <mergeCell ref="C139:D139"/>
    <mergeCell ref="A141:J141"/>
    <mergeCell ref="G142:H142"/>
    <mergeCell ref="I142:J142"/>
    <mergeCell ref="I131:J131"/>
    <mergeCell ref="A133:J134"/>
    <mergeCell ref="G135:H135"/>
    <mergeCell ref="I135:J135"/>
    <mergeCell ref="A136:C136"/>
    <mergeCell ref="I136:J136"/>
    <mergeCell ref="A124:J124"/>
    <mergeCell ref="I126:J126"/>
    <mergeCell ref="I127:J127"/>
    <mergeCell ref="I128:J128"/>
    <mergeCell ref="I129:J129"/>
    <mergeCell ref="C130:D130"/>
    <mergeCell ref="B121:F121"/>
    <mergeCell ref="G121:H121"/>
    <mergeCell ref="G122:H122"/>
    <mergeCell ref="I122:J122"/>
    <mergeCell ref="B123:F123"/>
    <mergeCell ref="G123:H123"/>
    <mergeCell ref="A117:J117"/>
    <mergeCell ref="G118:H118"/>
    <mergeCell ref="I118:J118"/>
    <mergeCell ref="B119:F119"/>
    <mergeCell ref="G119:H119"/>
    <mergeCell ref="G120:H120"/>
    <mergeCell ref="I120:J120"/>
    <mergeCell ref="I113:J113"/>
    <mergeCell ref="C114:E114"/>
    <mergeCell ref="I114:J114"/>
    <mergeCell ref="C115:E115"/>
    <mergeCell ref="G115:H115"/>
    <mergeCell ref="I115:J115"/>
    <mergeCell ref="A107:J107"/>
    <mergeCell ref="I108:J108"/>
    <mergeCell ref="C109:D109"/>
    <mergeCell ref="A111:J111"/>
    <mergeCell ref="G112:H112"/>
    <mergeCell ref="I112:J112"/>
    <mergeCell ref="I102:J102"/>
    <mergeCell ref="A103:J104"/>
    <mergeCell ref="G105:H105"/>
    <mergeCell ref="I105:J105"/>
    <mergeCell ref="A106:C106"/>
    <mergeCell ref="I106:J106"/>
    <mergeCell ref="C97:G97"/>
    <mergeCell ref="I97:J97"/>
    <mergeCell ref="I98:J98"/>
    <mergeCell ref="I99:J99"/>
    <mergeCell ref="I100:J100"/>
    <mergeCell ref="C101:D101"/>
    <mergeCell ref="I101:J101"/>
    <mergeCell ref="B90:F90"/>
    <mergeCell ref="G92:H92"/>
    <mergeCell ref="I92:J92"/>
    <mergeCell ref="B93:F93"/>
    <mergeCell ref="A94:J94"/>
    <mergeCell ref="I96:J96"/>
    <mergeCell ref="G86:H86"/>
    <mergeCell ref="I86:J86"/>
    <mergeCell ref="B87:F87"/>
    <mergeCell ref="I88:J88"/>
    <mergeCell ref="G89:H89"/>
    <mergeCell ref="I89:J89"/>
    <mergeCell ref="A81:J81"/>
    <mergeCell ref="G82:H82"/>
    <mergeCell ref="I82:J82"/>
    <mergeCell ref="G83:H83"/>
    <mergeCell ref="I83:J83"/>
    <mergeCell ref="B84:F84"/>
    <mergeCell ref="C77:G77"/>
    <mergeCell ref="I77:J77"/>
    <mergeCell ref="C78:E78"/>
    <mergeCell ref="I78:J78"/>
    <mergeCell ref="C79:E79"/>
    <mergeCell ref="G79:H79"/>
    <mergeCell ref="I79:J79"/>
    <mergeCell ref="A71:J71"/>
    <mergeCell ref="I72:J72"/>
    <mergeCell ref="C73:D73"/>
    <mergeCell ref="A75:J75"/>
    <mergeCell ref="G76:H76"/>
    <mergeCell ref="I76:J76"/>
    <mergeCell ref="A67:J68"/>
    <mergeCell ref="G69:H69"/>
    <mergeCell ref="I69:J69"/>
    <mergeCell ref="A70:C70"/>
    <mergeCell ref="G70:H70"/>
    <mergeCell ref="I70:J70"/>
    <mergeCell ref="I61:J61"/>
    <mergeCell ref="I62:J62"/>
    <mergeCell ref="I63:J63"/>
    <mergeCell ref="I64:J64"/>
    <mergeCell ref="C65:D65"/>
    <mergeCell ref="I66:J66"/>
    <mergeCell ref="B55:F55"/>
    <mergeCell ref="C57:D57"/>
    <mergeCell ref="G57:H57"/>
    <mergeCell ref="I57:J57"/>
    <mergeCell ref="B58:G58"/>
    <mergeCell ref="A59:J59"/>
    <mergeCell ref="G50:H50"/>
    <mergeCell ref="I50:J50"/>
    <mergeCell ref="G51:H51"/>
    <mergeCell ref="I51:J51"/>
    <mergeCell ref="B52:F52"/>
    <mergeCell ref="C54:D54"/>
    <mergeCell ref="G54:H54"/>
    <mergeCell ref="I54:J54"/>
    <mergeCell ref="C46:E46"/>
    <mergeCell ref="I46:J46"/>
    <mergeCell ref="C47:E47"/>
    <mergeCell ref="G47:H47"/>
    <mergeCell ref="I47:J47"/>
    <mergeCell ref="A49:J49"/>
    <mergeCell ref="C41:D41"/>
    <mergeCell ref="A43:J43"/>
    <mergeCell ref="G44:H44"/>
    <mergeCell ref="I44:J44"/>
    <mergeCell ref="C45:G45"/>
    <mergeCell ref="I45:J45"/>
    <mergeCell ref="A37:D37"/>
    <mergeCell ref="G37:H37"/>
    <mergeCell ref="I37:J37"/>
    <mergeCell ref="A38:C38"/>
    <mergeCell ref="I38:J38"/>
    <mergeCell ref="I40:J40"/>
    <mergeCell ref="C33:G33"/>
    <mergeCell ref="I33:J33"/>
    <mergeCell ref="I35:J35"/>
    <mergeCell ref="A36:D36"/>
    <mergeCell ref="E36:H36"/>
    <mergeCell ref="I36:J36"/>
    <mergeCell ref="A28:J28"/>
    <mergeCell ref="G29:H29"/>
    <mergeCell ref="I29:J29"/>
    <mergeCell ref="I31:J31"/>
    <mergeCell ref="C32:H32"/>
    <mergeCell ref="I32:J32"/>
    <mergeCell ref="G24:H24"/>
    <mergeCell ref="G25:H25"/>
    <mergeCell ref="I25:J25"/>
    <mergeCell ref="B26:G26"/>
    <mergeCell ref="I26:J26"/>
    <mergeCell ref="G27:H27"/>
    <mergeCell ref="B20:G20"/>
    <mergeCell ref="I20:J20"/>
    <mergeCell ref="G21:H21"/>
    <mergeCell ref="G22:H22"/>
    <mergeCell ref="I22:J22"/>
    <mergeCell ref="B23:G23"/>
    <mergeCell ref="I23:J23"/>
    <mergeCell ref="G16:H16"/>
    <mergeCell ref="I16:J16"/>
    <mergeCell ref="A17:J17"/>
    <mergeCell ref="G18:H18"/>
    <mergeCell ref="I18:J18"/>
    <mergeCell ref="G19:H19"/>
    <mergeCell ref="I19:J19"/>
    <mergeCell ref="I12:J12"/>
    <mergeCell ref="C13:E13"/>
    <mergeCell ref="I13:J13"/>
    <mergeCell ref="C14:G14"/>
    <mergeCell ref="I14:J14"/>
    <mergeCell ref="I15:J15"/>
    <mergeCell ref="I7:J7"/>
    <mergeCell ref="C8:E8"/>
    <mergeCell ref="I8:J8"/>
    <mergeCell ref="A10:J10"/>
    <mergeCell ref="G11:H11"/>
    <mergeCell ref="I11:J11"/>
    <mergeCell ref="A1:J2"/>
    <mergeCell ref="A3:E3"/>
    <mergeCell ref="A4:E4"/>
    <mergeCell ref="G4:H4"/>
    <mergeCell ref="I4:J4"/>
    <mergeCell ref="A5:C5"/>
    <mergeCell ref="I5:J5"/>
  </mergeCells>
  <pageMargins left="0.43307086614173229" right="0.23622047244094491" top="0.27559055118110237" bottom="0.11811023622047245" header="0.11811023622047245" footer="0.11811023622047245"/>
  <pageSetup paperSize="9" fitToHeight="0" orientation="portrait" r:id="rId1"/>
  <headerFooter>
    <oddFooter>&amp;L_x000D_&amp;1#&amp;"Trebuchet MS"&amp;9&amp;K737373 PÚBLICA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F9F1-7782-4160-8721-1ACE4D132009}">
  <dimension ref="A1:R41"/>
  <sheetViews>
    <sheetView showGridLines="0" zoomScale="110" zoomScaleNormal="11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1" sqref="D11"/>
    </sheetView>
  </sheetViews>
  <sheetFormatPr defaultRowHeight="14.5" x14ac:dyDescent="0.35"/>
  <cols>
    <col min="1" max="1" width="2.54296875" customWidth="1"/>
    <col min="2" max="2" width="10.81640625" customWidth="1"/>
    <col min="3" max="6" width="14.81640625" customWidth="1"/>
    <col min="7" max="7" width="14.81640625" hidden="1" customWidth="1"/>
    <col min="8" max="8" width="14.81640625" customWidth="1"/>
    <col min="9" max="9" width="2.54296875" customWidth="1"/>
    <col min="10" max="11" width="14.6328125" customWidth="1"/>
    <col min="12" max="13" width="3.36328125" customWidth="1"/>
    <col min="14" max="14" width="10" customWidth="1"/>
    <col min="15" max="15" width="46.6328125" customWidth="1"/>
    <col min="16" max="18" width="16.81640625" customWidth="1"/>
  </cols>
  <sheetData>
    <row r="1" spans="1:18" ht="21" customHeight="1" x14ac:dyDescent="0.35">
      <c r="B1" s="155" t="s">
        <v>190</v>
      </c>
      <c r="C1" s="155"/>
      <c r="D1" s="155"/>
      <c r="E1" s="155"/>
      <c r="F1" s="155"/>
      <c r="G1" s="155"/>
      <c r="H1" s="155"/>
      <c r="I1" s="2"/>
      <c r="J1" s="155" t="s">
        <v>103</v>
      </c>
      <c r="K1" s="155"/>
      <c r="L1" s="53"/>
      <c r="M1" s="53"/>
      <c r="N1" s="53"/>
      <c r="O1" s="53"/>
      <c r="P1" s="53"/>
      <c r="Q1" s="53"/>
      <c r="R1" s="53"/>
    </row>
    <row r="2" spans="1:18" ht="21" customHeight="1" x14ac:dyDescent="0.35">
      <c r="B2" s="155"/>
      <c r="C2" s="155"/>
      <c r="D2" s="155"/>
      <c r="E2" s="155"/>
      <c r="F2" s="155"/>
      <c r="G2" s="155"/>
      <c r="H2" s="155"/>
      <c r="I2" s="2"/>
      <c r="J2" s="155"/>
      <c r="K2" s="155"/>
      <c r="L2" s="53"/>
      <c r="M2" s="53"/>
      <c r="N2" s="53"/>
      <c r="O2" s="53"/>
      <c r="P2" s="53"/>
      <c r="Q2" s="53"/>
      <c r="R2" s="53"/>
    </row>
    <row r="3" spans="1:18" ht="30" customHeight="1" thickBot="1" x14ac:dyDescent="0.4">
      <c r="B3" s="102" t="s">
        <v>0</v>
      </c>
      <c r="C3" s="107" t="s">
        <v>474</v>
      </c>
      <c r="D3" s="108" t="s">
        <v>475</v>
      </c>
      <c r="E3" s="158" t="s">
        <v>365</v>
      </c>
      <c r="F3" s="159"/>
      <c r="G3" s="106" t="s">
        <v>1</v>
      </c>
      <c r="H3" s="107" t="s">
        <v>452</v>
      </c>
      <c r="I3" s="53"/>
      <c r="J3" s="78" t="s">
        <v>25</v>
      </c>
      <c r="K3" s="79" t="s">
        <v>26</v>
      </c>
      <c r="L3" s="80"/>
      <c r="M3" s="81"/>
      <c r="N3" s="109" t="s">
        <v>0</v>
      </c>
      <c r="O3" s="103" t="s">
        <v>28</v>
      </c>
      <c r="P3" s="104" t="s">
        <v>476</v>
      </c>
      <c r="Q3" s="103" t="s">
        <v>25</v>
      </c>
      <c r="R3" s="105" t="s">
        <v>29</v>
      </c>
    </row>
    <row r="4" spans="1:18" s="89" customFormat="1" ht="30" customHeight="1" thickBot="1" x14ac:dyDescent="0.4">
      <c r="A4" s="41"/>
      <c r="B4" s="124">
        <v>45994</v>
      </c>
      <c r="C4" s="114" t="s">
        <v>425</v>
      </c>
      <c r="D4" s="115" t="s">
        <v>481</v>
      </c>
      <c r="E4" s="114" t="s">
        <v>446</v>
      </c>
      <c r="F4" s="115" t="s">
        <v>441</v>
      </c>
      <c r="G4" s="114"/>
      <c r="H4" s="116" t="s">
        <v>426</v>
      </c>
      <c r="I4" s="83"/>
      <c r="J4" s="64"/>
      <c r="K4" s="64"/>
      <c r="L4" s="84"/>
      <c r="M4" s="84"/>
      <c r="N4" s="110">
        <v>45998</v>
      </c>
      <c r="O4" s="129" t="s">
        <v>484</v>
      </c>
      <c r="P4" s="129" t="s">
        <v>485</v>
      </c>
      <c r="Q4" s="129" t="s">
        <v>429</v>
      </c>
      <c r="R4" s="30" t="s">
        <v>443</v>
      </c>
    </row>
    <row r="5" spans="1:18" s="3" customFormat="1" ht="30" customHeight="1" thickBot="1" x14ac:dyDescent="0.4">
      <c r="A5"/>
      <c r="B5" s="125">
        <v>45998</v>
      </c>
      <c r="C5" s="117" t="s">
        <v>447</v>
      </c>
      <c r="D5" s="118" t="s">
        <v>434</v>
      </c>
      <c r="E5" s="117" t="s">
        <v>427</v>
      </c>
      <c r="F5" s="118" t="s">
        <v>470</v>
      </c>
      <c r="G5" s="117"/>
      <c r="H5" s="119" t="s">
        <v>429</v>
      </c>
      <c r="I5" s="83"/>
      <c r="J5" s="56"/>
      <c r="K5" s="56"/>
      <c r="L5" s="84"/>
      <c r="M5" s="84"/>
      <c r="N5" s="111"/>
      <c r="O5" s="129"/>
      <c r="P5" s="129"/>
      <c r="Q5" s="129"/>
      <c r="R5" s="130"/>
    </row>
    <row r="6" spans="1:18" ht="30" customHeight="1" thickBot="1" x14ac:dyDescent="0.4">
      <c r="B6" s="126">
        <v>46001</v>
      </c>
      <c r="C6" s="120" t="s">
        <v>480</v>
      </c>
      <c r="D6" s="121" t="s">
        <v>443</v>
      </c>
      <c r="E6" s="120" t="s">
        <v>439</v>
      </c>
      <c r="F6" s="121" t="s">
        <v>434</v>
      </c>
      <c r="G6" s="120"/>
      <c r="H6" s="122" t="s">
        <v>471</v>
      </c>
      <c r="I6" s="83"/>
      <c r="J6" s="85"/>
      <c r="K6" s="85"/>
      <c r="L6" s="84"/>
      <c r="M6" s="84"/>
      <c r="N6" s="112">
        <v>46005</v>
      </c>
      <c r="O6" s="131" t="s">
        <v>486</v>
      </c>
      <c r="P6" s="131" t="s">
        <v>487</v>
      </c>
      <c r="Q6" s="131" t="s">
        <v>488</v>
      </c>
      <c r="R6" s="132" t="s">
        <v>431</v>
      </c>
    </row>
    <row r="7" spans="1:18" s="3" customFormat="1" ht="30" customHeight="1" thickBot="1" x14ac:dyDescent="0.4">
      <c r="A7"/>
      <c r="B7" s="127">
        <v>46005</v>
      </c>
      <c r="C7" s="117" t="s">
        <v>481</v>
      </c>
      <c r="D7" s="118" t="s">
        <v>439</v>
      </c>
      <c r="E7" s="117" t="s">
        <v>447</v>
      </c>
      <c r="F7" s="118" t="s">
        <v>472</v>
      </c>
      <c r="G7" s="117"/>
      <c r="H7" s="119" t="s">
        <v>482</v>
      </c>
      <c r="I7" s="83"/>
      <c r="J7" s="56"/>
      <c r="K7" s="56"/>
      <c r="L7" s="84"/>
      <c r="M7" s="84"/>
      <c r="N7" s="112"/>
      <c r="O7" s="131"/>
      <c r="P7" s="131"/>
      <c r="Q7" s="131"/>
      <c r="R7" s="132"/>
    </row>
    <row r="8" spans="1:18" ht="30" customHeight="1" thickBot="1" x14ac:dyDescent="0.4">
      <c r="B8" s="128">
        <v>46008</v>
      </c>
      <c r="C8" s="120" t="s">
        <v>445</v>
      </c>
      <c r="D8" s="121" t="s">
        <v>480</v>
      </c>
      <c r="E8" s="120" t="s">
        <v>429</v>
      </c>
      <c r="F8" s="121" t="s">
        <v>439</v>
      </c>
      <c r="G8" s="120"/>
      <c r="H8" s="122" t="s">
        <v>425</v>
      </c>
      <c r="I8" s="83"/>
      <c r="J8" s="85"/>
      <c r="K8" s="85"/>
      <c r="L8" s="84"/>
      <c r="M8" s="84"/>
      <c r="N8" s="113">
        <v>46012</v>
      </c>
      <c r="O8" s="133" t="s">
        <v>490</v>
      </c>
      <c r="P8" s="133" t="s">
        <v>491</v>
      </c>
      <c r="Q8" s="133" t="s">
        <v>477</v>
      </c>
      <c r="R8" s="134" t="s">
        <v>426</v>
      </c>
    </row>
    <row r="9" spans="1:18" s="3" customFormat="1" ht="30" customHeight="1" thickBot="1" x14ac:dyDescent="0.4">
      <c r="A9"/>
      <c r="B9" s="125">
        <v>46012</v>
      </c>
      <c r="C9" s="117" t="s">
        <v>439</v>
      </c>
      <c r="D9" s="118" t="s">
        <v>445</v>
      </c>
      <c r="E9" s="117" t="s">
        <v>79</v>
      </c>
      <c r="F9" s="118" t="s">
        <v>434</v>
      </c>
      <c r="G9" s="117"/>
      <c r="H9" s="119" t="s">
        <v>429</v>
      </c>
      <c r="I9" s="83"/>
      <c r="J9" s="56"/>
      <c r="K9" s="56"/>
      <c r="L9" s="84"/>
      <c r="M9" s="84"/>
      <c r="N9" s="110"/>
      <c r="O9" s="133"/>
      <c r="P9" s="133"/>
      <c r="Q9" s="133"/>
      <c r="R9" s="134"/>
    </row>
    <row r="10" spans="1:18" ht="30" customHeight="1" thickBot="1" x14ac:dyDescent="0.4">
      <c r="B10" s="126">
        <v>46015</v>
      </c>
      <c r="C10" s="120" t="s">
        <v>431</v>
      </c>
      <c r="D10" s="121" t="s">
        <v>439</v>
      </c>
      <c r="E10" s="120" t="s">
        <v>445</v>
      </c>
      <c r="F10" s="121" t="s">
        <v>437</v>
      </c>
      <c r="G10" s="120"/>
      <c r="H10" s="123" t="s">
        <v>426</v>
      </c>
      <c r="I10" s="83"/>
      <c r="J10" s="85"/>
      <c r="K10" s="85"/>
      <c r="L10" s="84"/>
      <c r="M10" s="84"/>
      <c r="N10" s="112">
        <v>46019</v>
      </c>
      <c r="O10" s="131" t="s">
        <v>492</v>
      </c>
      <c r="P10" s="131" t="s">
        <v>493</v>
      </c>
      <c r="Q10" s="131" t="s">
        <v>489</v>
      </c>
      <c r="R10" s="132" t="s">
        <v>450</v>
      </c>
    </row>
    <row r="11" spans="1:18" ht="30" customHeight="1" thickBot="1" x14ac:dyDescent="0.4">
      <c r="B11" s="127">
        <v>46019</v>
      </c>
      <c r="C11" s="117" t="s">
        <v>447</v>
      </c>
      <c r="D11" s="118" t="s">
        <v>445</v>
      </c>
      <c r="E11" s="117" t="s">
        <v>449</v>
      </c>
      <c r="F11" s="118" t="s">
        <v>438</v>
      </c>
      <c r="G11" s="117"/>
      <c r="H11" s="119" t="s">
        <v>471</v>
      </c>
      <c r="I11" s="86"/>
      <c r="J11" s="56"/>
      <c r="K11" s="56"/>
      <c r="L11" s="84"/>
      <c r="M11" s="84"/>
      <c r="N11" s="112"/>
      <c r="O11" s="131"/>
      <c r="P11" s="131"/>
      <c r="Q11" s="131"/>
      <c r="R11" s="132"/>
    </row>
    <row r="12" spans="1:18" s="3" customFormat="1" ht="30" customHeight="1" thickBot="1" x14ac:dyDescent="0.4">
      <c r="A12"/>
      <c r="B12" s="128">
        <v>46022</v>
      </c>
      <c r="C12" s="120" t="s">
        <v>444</v>
      </c>
      <c r="D12" s="121" t="s">
        <v>447</v>
      </c>
      <c r="E12" s="120" t="s">
        <v>441</v>
      </c>
      <c r="F12" s="121" t="s">
        <v>439</v>
      </c>
      <c r="G12" s="120"/>
      <c r="H12" s="122" t="s">
        <v>482</v>
      </c>
      <c r="I12" s="87"/>
      <c r="J12" s="85"/>
      <c r="K12" s="85"/>
      <c r="L12" s="84"/>
      <c r="M12" s="84"/>
      <c r="N12" s="137"/>
      <c r="O12" s="139"/>
      <c r="P12" s="139"/>
      <c r="Q12" s="139"/>
      <c r="R12" s="135"/>
    </row>
    <row r="13" spans="1:18" ht="30" customHeight="1" thickBot="1" x14ac:dyDescent="0.4">
      <c r="B13" s="66"/>
      <c r="C13" s="56"/>
      <c r="D13" s="56"/>
      <c r="E13" s="56"/>
      <c r="F13" s="56"/>
      <c r="G13" s="56"/>
      <c r="H13" s="56"/>
      <c r="I13" s="87"/>
      <c r="J13" s="56"/>
      <c r="K13" s="56"/>
      <c r="L13" s="84"/>
      <c r="M13" s="84"/>
      <c r="N13" s="138"/>
      <c r="O13" s="140"/>
      <c r="P13" s="140"/>
      <c r="Q13" s="140"/>
      <c r="R13" s="136"/>
    </row>
    <row r="14" spans="1:18" s="3" customFormat="1" ht="30" customHeight="1" thickBot="1" x14ac:dyDescent="0.4">
      <c r="A14"/>
      <c r="B14" s="58"/>
      <c r="C14" s="85"/>
      <c r="D14" s="85"/>
      <c r="E14" s="85"/>
      <c r="F14" s="85"/>
      <c r="G14" s="85"/>
      <c r="H14" s="85"/>
      <c r="I14" s="87"/>
      <c r="J14" s="85" t="str">
        <f t="shared" ref="J14:J37" si="0">IF(Q14="","",Q14)</f>
        <v/>
      </c>
      <c r="K14" s="85" t="str">
        <f t="shared" ref="K14:K23" si="1">IF(R14="","",R14)</f>
        <v/>
      </c>
      <c r="L14" s="41"/>
      <c r="M14" s="41"/>
      <c r="N14" s="88"/>
      <c r="O14" s="60"/>
      <c r="P14" s="60"/>
      <c r="Q14" s="60"/>
      <c r="R14" s="60"/>
    </row>
    <row r="15" spans="1:18" ht="30" customHeight="1" thickBot="1" x14ac:dyDescent="0.4">
      <c r="B15" s="61"/>
      <c r="C15" s="55"/>
      <c r="D15" s="55"/>
      <c r="E15" s="55"/>
      <c r="F15" s="55"/>
      <c r="G15" s="55"/>
      <c r="H15" s="55"/>
      <c r="I15" s="37"/>
      <c r="J15" s="57" t="str">
        <f t="shared" si="0"/>
        <v/>
      </c>
      <c r="K15" s="57" t="str">
        <f t="shared" si="1"/>
        <v/>
      </c>
      <c r="N15" s="61"/>
      <c r="O15" s="62"/>
      <c r="P15" s="62"/>
      <c r="Q15" s="62"/>
      <c r="R15" s="63"/>
    </row>
    <row r="16" spans="1:18" ht="30" customHeight="1" thickBot="1" x14ac:dyDescent="0.4">
      <c r="B16" s="58"/>
      <c r="C16" s="54"/>
      <c r="D16" s="54"/>
      <c r="E16" s="54"/>
      <c r="F16" s="54"/>
      <c r="G16" s="54"/>
      <c r="H16" s="54"/>
      <c r="I16" s="37"/>
      <c r="J16" s="54" t="str">
        <f t="shared" si="0"/>
        <v/>
      </c>
      <c r="K16" s="54" t="str">
        <f t="shared" si="1"/>
        <v/>
      </c>
      <c r="N16" s="58"/>
      <c r="O16" s="60"/>
      <c r="P16" s="60"/>
      <c r="Q16" s="59"/>
      <c r="R16" s="59"/>
    </row>
    <row r="17" spans="2:18" ht="30" customHeight="1" thickBot="1" x14ac:dyDescent="0.4">
      <c r="B17" s="61"/>
      <c r="C17" s="55"/>
      <c r="D17" s="55"/>
      <c r="E17" s="55"/>
      <c r="F17" s="55"/>
      <c r="G17" s="55"/>
      <c r="H17" s="55"/>
      <c r="I17" s="37"/>
      <c r="J17" s="57" t="str">
        <f t="shared" si="0"/>
        <v/>
      </c>
      <c r="K17" s="57" t="str">
        <f t="shared" si="1"/>
        <v/>
      </c>
      <c r="N17" s="61"/>
      <c r="O17" s="62"/>
      <c r="P17" s="62"/>
      <c r="Q17" s="62"/>
      <c r="R17" s="63"/>
    </row>
    <row r="18" spans="2:18" ht="30" customHeight="1" thickBot="1" x14ac:dyDescent="0.4">
      <c r="B18" s="58"/>
      <c r="C18" s="54"/>
      <c r="D18" s="54"/>
      <c r="E18" s="54"/>
      <c r="F18" s="54"/>
      <c r="G18" s="54"/>
      <c r="H18" s="54"/>
      <c r="I18" s="37"/>
      <c r="J18" s="54" t="str">
        <f t="shared" si="0"/>
        <v/>
      </c>
      <c r="K18" s="54" t="str">
        <f t="shared" si="1"/>
        <v/>
      </c>
      <c r="N18" s="58"/>
      <c r="O18" s="60"/>
      <c r="P18" s="60"/>
      <c r="Q18" s="59"/>
      <c r="R18" s="59"/>
    </row>
    <row r="19" spans="2:18" ht="30" customHeight="1" x14ac:dyDescent="0.35">
      <c r="B19" s="16"/>
      <c r="C19" s="43"/>
      <c r="D19" s="43"/>
      <c r="E19" s="46"/>
      <c r="F19" s="46"/>
      <c r="G19" s="43"/>
      <c r="H19" s="43"/>
      <c r="I19" s="37"/>
      <c r="J19" s="36" t="str">
        <f t="shared" si="0"/>
        <v/>
      </c>
      <c r="K19" s="36" t="str">
        <f t="shared" si="1"/>
        <v/>
      </c>
      <c r="N19" s="16"/>
      <c r="O19" s="8"/>
      <c r="P19" s="8"/>
      <c r="Q19" s="8"/>
      <c r="R19" s="7"/>
    </row>
    <row r="20" spans="2:18" ht="30" customHeight="1" x14ac:dyDescent="0.35">
      <c r="B20" s="17"/>
      <c r="C20" s="37"/>
      <c r="D20" s="37"/>
      <c r="E20" s="37"/>
      <c r="F20" s="37"/>
      <c r="G20" s="37"/>
      <c r="H20" s="37"/>
      <c r="I20" s="37"/>
      <c r="J20" s="37" t="str">
        <f t="shared" si="0"/>
        <v/>
      </c>
      <c r="K20" s="37" t="str">
        <f t="shared" si="1"/>
        <v/>
      </c>
      <c r="N20" s="17"/>
      <c r="O20" s="9"/>
      <c r="P20" s="9"/>
      <c r="Q20" s="10"/>
      <c r="R20" s="10"/>
    </row>
    <row r="21" spans="2:18" ht="30" customHeight="1" x14ac:dyDescent="0.35">
      <c r="B21" s="16"/>
      <c r="C21" s="43"/>
      <c r="D21" s="43"/>
      <c r="E21" s="43"/>
      <c r="F21" s="43"/>
      <c r="G21" s="43"/>
      <c r="H21" s="43"/>
      <c r="I21" s="37"/>
      <c r="J21" s="36" t="str">
        <f t="shared" si="0"/>
        <v/>
      </c>
      <c r="K21" s="36" t="str">
        <f t="shared" si="1"/>
        <v/>
      </c>
      <c r="N21" s="16"/>
      <c r="O21" s="8"/>
      <c r="P21" s="8"/>
      <c r="Q21" s="8"/>
      <c r="R21" s="7"/>
    </row>
    <row r="22" spans="2:18" ht="30" customHeight="1" x14ac:dyDescent="0.35">
      <c r="B22" s="17"/>
      <c r="C22" s="37"/>
      <c r="D22" s="37"/>
      <c r="E22" s="37"/>
      <c r="F22" s="37"/>
      <c r="G22" s="37"/>
      <c r="H22" s="37"/>
      <c r="I22" s="37"/>
      <c r="J22" s="37" t="str">
        <f t="shared" si="0"/>
        <v/>
      </c>
      <c r="K22" s="37" t="str">
        <f t="shared" si="1"/>
        <v/>
      </c>
      <c r="N22" s="17"/>
      <c r="O22" s="9"/>
      <c r="P22" s="9"/>
      <c r="Q22" s="10"/>
      <c r="R22" s="10"/>
    </row>
    <row r="23" spans="2:18" ht="30" customHeight="1" x14ac:dyDescent="0.35">
      <c r="B23" s="16"/>
      <c r="C23" s="43"/>
      <c r="D23" s="43"/>
      <c r="E23" s="43"/>
      <c r="F23" s="43"/>
      <c r="G23" s="43"/>
      <c r="H23" s="43"/>
      <c r="I23" s="37"/>
      <c r="J23" s="36" t="str">
        <f t="shared" si="0"/>
        <v/>
      </c>
      <c r="K23" s="36" t="str">
        <f t="shared" si="1"/>
        <v/>
      </c>
      <c r="N23" s="16"/>
      <c r="O23" s="8"/>
      <c r="P23" s="8"/>
      <c r="Q23" s="8"/>
      <c r="R23" s="7"/>
    </row>
    <row r="24" spans="2:18" ht="30" customHeight="1" x14ac:dyDescent="0.35">
      <c r="B24" s="17"/>
      <c r="C24" s="37"/>
      <c r="D24" s="37"/>
      <c r="E24" s="37"/>
      <c r="F24" s="37"/>
      <c r="G24" s="37"/>
      <c r="H24" s="37"/>
      <c r="I24" s="37"/>
      <c r="J24" s="37" t="str">
        <f t="shared" si="0"/>
        <v/>
      </c>
      <c r="K24" s="37" t="str">
        <f t="shared" ref="K24:K37" si="2">IF(R24="","",R24)</f>
        <v/>
      </c>
      <c r="N24" s="17"/>
      <c r="O24" s="9"/>
      <c r="P24" s="9"/>
      <c r="Q24" s="10"/>
      <c r="R24" s="10"/>
    </row>
    <row r="25" spans="2:18" ht="30" customHeight="1" x14ac:dyDescent="0.35">
      <c r="B25" s="16"/>
      <c r="C25" s="43"/>
      <c r="D25" s="43"/>
      <c r="E25" s="43"/>
      <c r="F25" s="43"/>
      <c r="G25" s="43"/>
      <c r="H25" s="43"/>
      <c r="I25" s="37"/>
      <c r="J25" s="36" t="str">
        <f t="shared" si="0"/>
        <v/>
      </c>
      <c r="K25" s="36" t="str">
        <f t="shared" si="2"/>
        <v/>
      </c>
      <c r="N25" s="16"/>
      <c r="O25" s="8"/>
      <c r="P25" s="8"/>
      <c r="Q25" s="8"/>
      <c r="R25" s="7"/>
    </row>
    <row r="26" spans="2:18" ht="30" customHeight="1" x14ac:dyDescent="0.35">
      <c r="B26" s="17"/>
      <c r="C26" s="37"/>
      <c r="D26" s="37"/>
      <c r="E26" s="37"/>
      <c r="F26" s="37"/>
      <c r="G26" s="37"/>
      <c r="H26" s="37"/>
      <c r="I26" s="37"/>
      <c r="J26" s="37" t="str">
        <f t="shared" si="0"/>
        <v/>
      </c>
      <c r="K26" s="37" t="str">
        <f t="shared" si="2"/>
        <v/>
      </c>
      <c r="N26" s="17"/>
      <c r="O26" s="9"/>
      <c r="P26" s="9"/>
      <c r="Q26" s="10"/>
      <c r="R26" s="10"/>
    </row>
    <row r="27" spans="2:18" ht="30" customHeight="1" x14ac:dyDescent="0.35">
      <c r="B27" s="16"/>
      <c r="C27" s="43"/>
      <c r="D27" s="43"/>
      <c r="E27" s="43"/>
      <c r="F27" s="43"/>
      <c r="G27" s="43"/>
      <c r="H27" s="43"/>
      <c r="I27" s="37"/>
      <c r="J27" s="36" t="str">
        <f t="shared" si="0"/>
        <v/>
      </c>
      <c r="K27" s="36" t="str">
        <f t="shared" si="2"/>
        <v/>
      </c>
      <c r="N27" s="16"/>
      <c r="O27" s="8"/>
      <c r="P27" s="8"/>
      <c r="Q27" s="8"/>
      <c r="R27" s="7"/>
    </row>
    <row r="28" spans="2:18" ht="30" customHeight="1" x14ac:dyDescent="0.35">
      <c r="B28" s="17"/>
      <c r="C28" s="37"/>
      <c r="D28" s="37"/>
      <c r="E28" s="37"/>
      <c r="F28" s="37"/>
      <c r="G28" s="37"/>
      <c r="H28" s="37"/>
      <c r="I28" s="37"/>
      <c r="J28" s="37" t="str">
        <f t="shared" si="0"/>
        <v/>
      </c>
      <c r="K28" s="37" t="str">
        <f t="shared" si="2"/>
        <v/>
      </c>
      <c r="N28" s="17"/>
      <c r="O28" s="9"/>
      <c r="P28" s="9"/>
      <c r="Q28" s="10"/>
      <c r="R28" s="10"/>
    </row>
    <row r="29" spans="2:18" ht="30" customHeight="1" x14ac:dyDescent="0.35">
      <c r="B29" s="16"/>
      <c r="C29" s="43"/>
      <c r="D29" s="43"/>
      <c r="E29" s="43"/>
      <c r="F29" s="43"/>
      <c r="G29" s="43"/>
      <c r="H29" s="43"/>
      <c r="I29" s="37"/>
      <c r="J29" s="36" t="str">
        <f t="shared" si="0"/>
        <v/>
      </c>
      <c r="K29" s="36" t="str">
        <f t="shared" si="2"/>
        <v/>
      </c>
      <c r="N29" s="16"/>
      <c r="O29" s="8"/>
      <c r="P29" s="8"/>
      <c r="Q29" s="8"/>
      <c r="R29" s="7"/>
    </row>
    <row r="30" spans="2:18" ht="30" customHeight="1" x14ac:dyDescent="0.35">
      <c r="B30" s="17"/>
      <c r="C30" s="37"/>
      <c r="D30" s="37"/>
      <c r="E30" s="37"/>
      <c r="F30" s="37"/>
      <c r="G30" s="37"/>
      <c r="H30" s="37"/>
      <c r="I30" s="37"/>
      <c r="J30" s="37" t="str">
        <f t="shared" si="0"/>
        <v/>
      </c>
      <c r="K30" s="37" t="str">
        <f t="shared" si="2"/>
        <v/>
      </c>
      <c r="N30" s="17"/>
      <c r="O30" s="9"/>
      <c r="P30" s="9"/>
      <c r="Q30" s="10"/>
      <c r="R30" s="10"/>
    </row>
    <row r="31" spans="2:18" ht="30" customHeight="1" x14ac:dyDescent="0.35">
      <c r="B31" s="16"/>
      <c r="C31" s="43"/>
      <c r="D31" s="43"/>
      <c r="E31" s="43"/>
      <c r="F31" s="43"/>
      <c r="G31" s="43"/>
      <c r="H31" s="43"/>
      <c r="I31" s="37"/>
      <c r="J31" s="36" t="str">
        <f t="shared" si="0"/>
        <v/>
      </c>
      <c r="K31" s="36" t="str">
        <f t="shared" si="2"/>
        <v/>
      </c>
      <c r="N31" s="16"/>
      <c r="O31" s="8"/>
      <c r="P31" s="8"/>
      <c r="Q31" s="8"/>
      <c r="R31" s="7"/>
    </row>
    <row r="32" spans="2:18" ht="30" customHeight="1" x14ac:dyDescent="0.35">
      <c r="B32" s="17"/>
      <c r="C32" s="37"/>
      <c r="D32" s="37"/>
      <c r="E32" s="37"/>
      <c r="F32" s="37"/>
      <c r="G32" s="37"/>
      <c r="H32" s="37"/>
      <c r="I32" s="37"/>
      <c r="J32" s="37" t="str">
        <f t="shared" si="0"/>
        <v/>
      </c>
      <c r="K32" s="37" t="str">
        <f t="shared" si="2"/>
        <v/>
      </c>
      <c r="N32" s="17"/>
      <c r="O32" s="9"/>
      <c r="P32" s="9"/>
      <c r="Q32" s="10"/>
      <c r="R32" s="10"/>
    </row>
    <row r="33" spans="2:18" ht="30" customHeight="1" x14ac:dyDescent="0.35">
      <c r="B33" s="16"/>
      <c r="C33" s="43"/>
      <c r="D33" s="43"/>
      <c r="E33" s="43"/>
      <c r="F33" s="43"/>
      <c r="G33" s="43"/>
      <c r="H33" s="43"/>
      <c r="I33" s="37"/>
      <c r="J33" s="36" t="str">
        <f t="shared" si="0"/>
        <v/>
      </c>
      <c r="K33" s="36" t="str">
        <f t="shared" si="2"/>
        <v/>
      </c>
      <c r="N33" s="16"/>
      <c r="O33" s="8"/>
      <c r="P33" s="8"/>
      <c r="Q33" s="8"/>
      <c r="R33" s="7"/>
    </row>
    <row r="34" spans="2:18" ht="30" customHeight="1" x14ac:dyDescent="0.35">
      <c r="B34" s="17"/>
      <c r="C34" s="37"/>
      <c r="D34" s="37"/>
      <c r="E34" s="37"/>
      <c r="F34" s="37"/>
      <c r="G34" s="37"/>
      <c r="H34" s="37"/>
      <c r="I34" s="37"/>
      <c r="J34" s="37" t="str">
        <f t="shared" si="0"/>
        <v/>
      </c>
      <c r="K34" s="37" t="str">
        <f t="shared" si="2"/>
        <v/>
      </c>
      <c r="N34" s="17"/>
      <c r="O34" s="9"/>
      <c r="P34" s="9"/>
      <c r="Q34" s="10"/>
      <c r="R34" s="10"/>
    </row>
    <row r="35" spans="2:18" ht="30" customHeight="1" x14ac:dyDescent="0.35">
      <c r="B35" s="16"/>
      <c r="C35" s="43"/>
      <c r="D35" s="43"/>
      <c r="E35" s="43"/>
      <c r="F35" s="43"/>
      <c r="G35" s="43"/>
      <c r="H35" s="43"/>
      <c r="I35" s="37"/>
      <c r="J35" s="36" t="str">
        <f t="shared" si="0"/>
        <v/>
      </c>
      <c r="K35" s="36" t="str">
        <f t="shared" si="2"/>
        <v/>
      </c>
      <c r="N35" s="16"/>
      <c r="O35" s="8"/>
      <c r="P35" s="8"/>
      <c r="Q35" s="8"/>
      <c r="R35" s="7"/>
    </row>
    <row r="36" spans="2:18" ht="30" customHeight="1" x14ac:dyDescent="0.35">
      <c r="B36" s="17"/>
      <c r="C36" s="37"/>
      <c r="D36" s="37"/>
      <c r="E36" s="37"/>
      <c r="F36" s="37"/>
      <c r="G36" s="37"/>
      <c r="H36" s="37"/>
      <c r="I36" s="37"/>
      <c r="J36" s="37" t="str">
        <f t="shared" si="0"/>
        <v/>
      </c>
      <c r="K36" s="37" t="str">
        <f t="shared" si="2"/>
        <v/>
      </c>
      <c r="N36" s="17"/>
      <c r="O36" s="9"/>
      <c r="P36" s="9"/>
      <c r="Q36" s="10"/>
      <c r="R36" s="10"/>
    </row>
    <row r="37" spans="2:18" ht="30" customHeight="1" x14ac:dyDescent="0.35">
      <c r="B37" s="16"/>
      <c r="C37" s="43"/>
      <c r="D37" s="43"/>
      <c r="E37" s="43"/>
      <c r="F37" s="43"/>
      <c r="G37" s="43"/>
      <c r="H37" s="43"/>
      <c r="I37" s="37"/>
      <c r="J37" s="36" t="str">
        <f t="shared" si="0"/>
        <v/>
      </c>
      <c r="K37" s="36" t="str">
        <f t="shared" si="2"/>
        <v/>
      </c>
      <c r="N37" s="16"/>
      <c r="O37" s="8"/>
      <c r="P37" s="8"/>
      <c r="Q37" s="8"/>
      <c r="R37" s="7"/>
    </row>
    <row r="41" spans="2:18" ht="15" customHeight="1" x14ac:dyDescent="0.35"/>
  </sheetData>
  <mergeCells count="3">
    <mergeCell ref="E3:F3"/>
    <mergeCell ref="B1:H2"/>
    <mergeCell ref="J1:K2"/>
  </mergeCells>
  <phoneticPr fontId="11" type="noConversion"/>
  <conditionalFormatting sqref="C4:H4">
    <cfRule type="duplicateValues" dxfId="15" priority="32"/>
  </conditionalFormatting>
  <conditionalFormatting sqref="C5:H5">
    <cfRule type="duplicateValues" dxfId="14" priority="2"/>
    <cfRule type="duplicateValues" dxfId="13" priority="3"/>
  </conditionalFormatting>
  <conditionalFormatting sqref="C6:H6">
    <cfRule type="duplicateValues" dxfId="12" priority="1"/>
  </conditionalFormatting>
  <conditionalFormatting sqref="C7:H7">
    <cfRule type="duplicateValues" dxfId="11" priority="6"/>
    <cfRule type="duplicateValues" dxfId="10" priority="7"/>
  </conditionalFormatting>
  <conditionalFormatting sqref="C8:H8">
    <cfRule type="duplicateValues" dxfId="9" priority="10"/>
  </conditionalFormatting>
  <conditionalFormatting sqref="C10:H10">
    <cfRule type="duplicateValues" dxfId="8" priority="26"/>
  </conditionalFormatting>
  <conditionalFormatting sqref="C11:H11 J11:K11 J13:K13">
    <cfRule type="duplicateValues" dxfId="7" priority="11"/>
  </conditionalFormatting>
  <conditionalFormatting sqref="C12:H12">
    <cfRule type="duplicateValues" dxfId="6" priority="16"/>
  </conditionalFormatting>
  <conditionalFormatting sqref="C13:H13">
    <cfRule type="duplicateValues" dxfId="5" priority="12"/>
  </conditionalFormatting>
  <conditionalFormatting sqref="C9:K9">
    <cfRule type="duplicateValues" dxfId="4" priority="27"/>
    <cfRule type="duplicateValues" dxfId="3" priority="28"/>
  </conditionalFormatting>
  <conditionalFormatting sqref="I12">
    <cfRule type="duplicateValues" dxfId="2" priority="24"/>
  </conditionalFormatting>
  <conditionalFormatting sqref="I5:K5">
    <cfRule type="duplicateValues" dxfId="1" priority="31"/>
  </conditionalFormatting>
  <conditionalFormatting sqref="I7:K7">
    <cfRule type="duplicateValues" dxfId="0" priority="30"/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B22DC6B-0FDE-4618-A870-FA56DE27C82D}">
          <x14:formula1>
            <xm:f>'Aprovados pelo corpo'!$E$4:$E$50</xm:f>
          </x14:formula1>
          <xm:sqref>R5:R37</xm:sqref>
        </x14:dataValidation>
        <x14:dataValidation type="list" allowBlank="1" showInputMessage="1" showErrorMessage="1" xr:uid="{94F51502-FF93-4FE1-930B-0727301CCF22}">
          <x14:formula1>
            <xm:f>'Aprovados pelo corpo'!$F$4:$F$30</xm:f>
          </x14:formula1>
          <xm:sqref>Q5:Q37</xm:sqref>
        </x14:dataValidation>
        <x14:dataValidation type="list" allowBlank="1" showInputMessage="1" showErrorMessage="1" xr:uid="{3070D701-4E12-41A4-9025-63765527DC6D}">
          <x14:formula1>
            <xm:f>'Aprovados pelo corpo'!$D$4:$D$27</xm:f>
          </x14:formula1>
          <xm:sqref>H4:H37</xm:sqref>
        </x14:dataValidation>
        <x14:dataValidation type="list" allowBlank="1" showInputMessage="1" showErrorMessage="1" xr:uid="{11B459EC-3F83-48F2-964F-85215AEFC911}">
          <x14:formula1>
            <xm:f>'Aprovados pelo corpo'!$C$4:$C$48</xm:f>
          </x14:formula1>
          <xm:sqref>G4:G37</xm:sqref>
        </x14:dataValidation>
        <x14:dataValidation type="list" allowBlank="1" showInputMessage="1" showErrorMessage="1" xr:uid="{D7839A2D-CF4C-4D30-89BC-CD7D0BF4FC45}">
          <x14:formula1>
            <xm:f>'Aprovados pelo corpo'!$B$4:$B$47</xm:f>
          </x14:formula1>
          <xm:sqref>E4:F37</xm:sqref>
        </x14:dataValidation>
        <x14:dataValidation type="list" allowBlank="1" showInputMessage="1" showErrorMessage="1" xr:uid="{B820DABE-227E-49FC-9F02-789D6F93626A}">
          <x14:formula1>
            <xm:f>'Aprovados pelo corpo'!$A$4:$A$50</xm:f>
          </x14:formula1>
          <xm:sqref>C4:D37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C545-2046-4677-9F71-EB8F9655A75A}">
  <dimension ref="B1:N42"/>
  <sheetViews>
    <sheetView showGridLines="0" tabSelected="1" topLeftCell="A14" zoomScale="130" zoomScaleNormal="130" workbookViewId="0">
      <selection activeCell="D30" sqref="D30"/>
    </sheetView>
  </sheetViews>
  <sheetFormatPr defaultRowHeight="14.5" x14ac:dyDescent="0.35"/>
  <cols>
    <col min="2" max="2" width="17" customWidth="1"/>
    <col min="3" max="3" width="64.81640625" customWidth="1"/>
    <col min="4" max="4" width="9.08984375" style="65"/>
    <col min="5" max="5" width="17" customWidth="1"/>
    <col min="6" max="6" width="73.90625" style="65" customWidth="1"/>
    <col min="7" max="7" width="9.08984375" style="65"/>
  </cols>
  <sheetData>
    <row r="1" spans="2:14" ht="18" x14ac:dyDescent="0.35">
      <c r="B1" s="160" t="s">
        <v>386</v>
      </c>
      <c r="C1" s="160"/>
      <c r="E1" s="160" t="s">
        <v>411</v>
      </c>
      <c r="F1" s="160"/>
    </row>
    <row r="2" spans="2:14" ht="21" customHeight="1" x14ac:dyDescent="0.35">
      <c r="B2" s="1" t="s">
        <v>104</v>
      </c>
      <c r="C2" s="1" t="s">
        <v>380</v>
      </c>
      <c r="E2" s="1" t="s">
        <v>0</v>
      </c>
      <c r="F2" s="1" t="s">
        <v>380</v>
      </c>
    </row>
    <row r="3" spans="2:14" ht="18" customHeight="1" x14ac:dyDescent="0.35">
      <c r="B3" s="67">
        <v>45841</v>
      </c>
      <c r="C3" s="70" t="s">
        <v>392</v>
      </c>
      <c r="E3" s="67">
        <v>45843</v>
      </c>
      <c r="F3" s="7" t="s">
        <v>140</v>
      </c>
    </row>
    <row r="4" spans="2:14" ht="18" customHeight="1" x14ac:dyDescent="0.35">
      <c r="B4" s="68">
        <v>45844</v>
      </c>
      <c r="C4" s="9" t="s">
        <v>383</v>
      </c>
      <c r="E4" s="68">
        <v>45850</v>
      </c>
      <c r="F4" s="10" t="s">
        <v>392</v>
      </c>
    </row>
    <row r="5" spans="2:14" ht="18" customHeight="1" x14ac:dyDescent="0.35">
      <c r="B5" s="67">
        <v>45848</v>
      </c>
      <c r="C5" s="7" t="s">
        <v>382</v>
      </c>
      <c r="E5" s="67">
        <v>45857</v>
      </c>
      <c r="F5" s="7" t="s">
        <v>384</v>
      </c>
    </row>
    <row r="6" spans="2:14" ht="18" customHeight="1" x14ac:dyDescent="0.35">
      <c r="B6" s="68">
        <v>45851</v>
      </c>
      <c r="C6" s="10" t="s">
        <v>381</v>
      </c>
      <c r="E6" s="68">
        <v>45864</v>
      </c>
      <c r="F6" s="9" t="s">
        <v>142</v>
      </c>
    </row>
    <row r="7" spans="2:14" ht="18" customHeight="1" x14ac:dyDescent="0.35">
      <c r="B7" s="67">
        <v>45855</v>
      </c>
      <c r="C7" s="7" t="s">
        <v>384</v>
      </c>
      <c r="E7" s="67"/>
      <c r="F7" s="7"/>
    </row>
    <row r="8" spans="2:14" s="65" customFormat="1" ht="18" customHeight="1" x14ac:dyDescent="0.35">
      <c r="B8" s="77">
        <v>45858</v>
      </c>
      <c r="C8" s="10" t="s">
        <v>142</v>
      </c>
      <c r="E8" s="68"/>
      <c r="F8" s="9"/>
      <c r="H8"/>
      <c r="I8"/>
      <c r="J8"/>
      <c r="K8"/>
      <c r="L8"/>
      <c r="M8"/>
      <c r="N8"/>
    </row>
    <row r="9" spans="2:14" s="65" customFormat="1" ht="18" customHeight="1" x14ac:dyDescent="0.35">
      <c r="B9" s="67">
        <v>45862</v>
      </c>
      <c r="C9" s="7" t="s">
        <v>140</v>
      </c>
      <c r="E9" s="50"/>
      <c r="F9" s="7"/>
      <c r="H9"/>
      <c r="I9"/>
      <c r="J9"/>
      <c r="K9"/>
      <c r="L9"/>
      <c r="M9"/>
      <c r="N9"/>
    </row>
    <row r="10" spans="2:14" s="65" customFormat="1" ht="18" customHeight="1" x14ac:dyDescent="0.35">
      <c r="B10" s="68">
        <v>45865</v>
      </c>
      <c r="C10" s="10" t="s">
        <v>392</v>
      </c>
      <c r="E10" s="18"/>
      <c r="F10" s="18"/>
      <c r="H10"/>
      <c r="I10"/>
      <c r="J10"/>
      <c r="K10"/>
      <c r="L10"/>
      <c r="M10"/>
      <c r="N10"/>
    </row>
    <row r="11" spans="2:14" s="65" customFormat="1" ht="18" customHeight="1" x14ac:dyDescent="0.35">
      <c r="B11" s="67">
        <v>45869</v>
      </c>
      <c r="C11" s="7" t="s">
        <v>383</v>
      </c>
      <c r="E11"/>
      <c r="F11"/>
      <c r="H11"/>
      <c r="I11"/>
      <c r="J11"/>
      <c r="K11"/>
      <c r="L11"/>
      <c r="M11"/>
      <c r="N11"/>
    </row>
    <row r="12" spans="2:14" s="65" customFormat="1" ht="18" customHeight="1" x14ac:dyDescent="0.35">
      <c r="B12" s="51"/>
      <c r="C12" s="9"/>
      <c r="E12"/>
      <c r="F12"/>
      <c r="H12"/>
      <c r="I12"/>
      <c r="J12"/>
      <c r="K12"/>
      <c r="L12"/>
      <c r="M12"/>
      <c r="N12"/>
    </row>
    <row r="13" spans="2:14" s="65" customFormat="1" ht="18" customHeight="1" x14ac:dyDescent="0.35">
      <c r="B13" s="50"/>
      <c r="C13" s="7"/>
      <c r="E13"/>
      <c r="F13"/>
      <c r="H13"/>
      <c r="I13"/>
      <c r="J13"/>
      <c r="K13"/>
      <c r="L13"/>
      <c r="M13"/>
      <c r="N13"/>
    </row>
    <row r="14" spans="2:14" s="65" customFormat="1" ht="18" customHeight="1" x14ac:dyDescent="0.35">
      <c r="B14" s="69"/>
      <c r="C14" s="69"/>
      <c r="E14"/>
      <c r="F14"/>
      <c r="H14"/>
      <c r="I14"/>
      <c r="J14"/>
      <c r="K14"/>
      <c r="L14"/>
      <c r="M14"/>
      <c r="N14"/>
    </row>
    <row r="15" spans="2:14" ht="18" customHeight="1" x14ac:dyDescent="0.35">
      <c r="B15" s="160" t="s">
        <v>385</v>
      </c>
      <c r="C15" s="160"/>
      <c r="F15"/>
    </row>
    <row r="16" spans="2:14" ht="18" customHeight="1" x14ac:dyDescent="0.35">
      <c r="B16" s="1" t="s">
        <v>104</v>
      </c>
      <c r="C16" s="1" t="s">
        <v>311</v>
      </c>
      <c r="F16"/>
    </row>
    <row r="17" spans="2:14" ht="18" hidden="1" customHeight="1" x14ac:dyDescent="0.35">
      <c r="B17" s="68" t="s">
        <v>412</v>
      </c>
      <c r="C17" s="9" t="s">
        <v>409</v>
      </c>
      <c r="E17" s="68"/>
      <c r="F17" s="18"/>
    </row>
    <row r="18" spans="2:14" ht="18" hidden="1" customHeight="1" x14ac:dyDescent="0.35">
      <c r="B18" s="67" t="s">
        <v>413</v>
      </c>
      <c r="C18" s="8" t="s">
        <v>410</v>
      </c>
      <c r="E18" s="67"/>
      <c r="F18" s="18"/>
    </row>
    <row r="19" spans="2:14" ht="18" hidden="1" customHeight="1" x14ac:dyDescent="0.35">
      <c r="B19" s="68" t="s">
        <v>414</v>
      </c>
      <c r="C19" s="9" t="s">
        <v>363</v>
      </c>
      <c r="E19" s="18"/>
      <c r="F19" s="18"/>
    </row>
    <row r="20" spans="2:14" ht="18" hidden="1" customHeight="1" x14ac:dyDescent="0.35">
      <c r="B20" s="67" t="s">
        <v>420</v>
      </c>
      <c r="C20" s="8" t="s">
        <v>364</v>
      </c>
      <c r="E20" s="18">
        <f>COUNTIF(C19:C37,"NAIDE")</f>
        <v>0</v>
      </c>
      <c r="F20" s="18"/>
    </row>
    <row r="21" spans="2:14" s="65" customFormat="1" ht="18" hidden="1" customHeight="1" x14ac:dyDescent="0.35">
      <c r="B21" s="68" t="s">
        <v>415</v>
      </c>
      <c r="C21" s="9" t="s">
        <v>390</v>
      </c>
      <c r="E21" s="18"/>
      <c r="F21" s="18"/>
      <c r="H21"/>
      <c r="I21"/>
      <c r="J21"/>
      <c r="K21"/>
      <c r="L21"/>
      <c r="M21"/>
      <c r="N21"/>
    </row>
    <row r="22" spans="2:14" s="65" customFormat="1" ht="18" hidden="1" customHeight="1" x14ac:dyDescent="0.35">
      <c r="B22" s="67" t="s">
        <v>416</v>
      </c>
      <c r="C22" s="8" t="s">
        <v>391</v>
      </c>
      <c r="E22" s="18"/>
      <c r="F22" s="18"/>
      <c r="H22"/>
      <c r="I22"/>
      <c r="J22"/>
      <c r="K22"/>
      <c r="L22"/>
      <c r="M22"/>
      <c r="N22"/>
    </row>
    <row r="23" spans="2:14" s="65" customFormat="1" ht="18" hidden="1" customHeight="1" x14ac:dyDescent="0.35">
      <c r="B23" s="68" t="s">
        <v>417</v>
      </c>
      <c r="C23" s="9" t="s">
        <v>393</v>
      </c>
      <c r="E23" s="18"/>
      <c r="F23" s="18"/>
      <c r="H23"/>
      <c r="I23"/>
      <c r="J23"/>
      <c r="K23"/>
      <c r="L23"/>
      <c r="M23"/>
      <c r="N23"/>
    </row>
    <row r="24" spans="2:14" s="65" customFormat="1" hidden="1" x14ac:dyDescent="0.35">
      <c r="B24" s="67" t="s">
        <v>418</v>
      </c>
      <c r="C24" s="8" t="s">
        <v>394</v>
      </c>
      <c r="E24"/>
      <c r="F24"/>
      <c r="H24"/>
      <c r="I24"/>
      <c r="J24"/>
      <c r="K24"/>
      <c r="L24"/>
      <c r="M24"/>
      <c r="N24"/>
    </row>
    <row r="25" spans="2:14" s="65" customFormat="1" hidden="1" x14ac:dyDescent="0.35">
      <c r="B25" s="68" t="s">
        <v>419</v>
      </c>
      <c r="C25" s="9" t="s">
        <v>395</v>
      </c>
      <c r="E25"/>
      <c r="F25"/>
      <c r="H25"/>
      <c r="I25"/>
      <c r="J25"/>
      <c r="K25"/>
      <c r="L25"/>
      <c r="M25"/>
      <c r="N25"/>
    </row>
    <row r="26" spans="2:14" hidden="1" x14ac:dyDescent="0.35">
      <c r="B26" s="67">
        <v>45963</v>
      </c>
      <c r="C26" s="8" t="s">
        <v>473</v>
      </c>
      <c r="D26"/>
      <c r="F26"/>
      <c r="G26"/>
    </row>
    <row r="27" spans="2:14" hidden="1" x14ac:dyDescent="0.35">
      <c r="B27" s="68">
        <v>45966</v>
      </c>
      <c r="C27" s="9"/>
      <c r="D27"/>
      <c r="F27"/>
      <c r="G27"/>
    </row>
    <row r="28" spans="2:14" hidden="1" x14ac:dyDescent="0.35">
      <c r="B28" s="67">
        <v>45970</v>
      </c>
      <c r="C28" s="8"/>
      <c r="D28"/>
      <c r="F28"/>
      <c r="G28"/>
    </row>
    <row r="29" spans="2:14" x14ac:dyDescent="0.35">
      <c r="B29" s="68">
        <v>45994</v>
      </c>
      <c r="C29" s="9" t="s">
        <v>454</v>
      </c>
      <c r="D29"/>
      <c r="F29"/>
      <c r="G29"/>
    </row>
    <row r="30" spans="2:14" x14ac:dyDescent="0.35">
      <c r="B30" s="67">
        <v>45998</v>
      </c>
      <c r="C30" s="8" t="s">
        <v>454</v>
      </c>
      <c r="D30"/>
      <c r="F30"/>
      <c r="G30"/>
    </row>
    <row r="31" spans="2:14" x14ac:dyDescent="0.35">
      <c r="B31" s="68">
        <v>46001</v>
      </c>
      <c r="C31" s="9" t="s">
        <v>453</v>
      </c>
      <c r="D31"/>
      <c r="F31"/>
      <c r="G31"/>
    </row>
    <row r="32" spans="2:14" x14ac:dyDescent="0.35">
      <c r="B32" s="67">
        <v>46005</v>
      </c>
      <c r="C32" s="8" t="s">
        <v>453</v>
      </c>
      <c r="D32"/>
      <c r="F32"/>
      <c r="G32"/>
    </row>
    <row r="33" spans="2:7" x14ac:dyDescent="0.35">
      <c r="B33" s="68">
        <v>46008</v>
      </c>
      <c r="C33" s="9" t="s">
        <v>473</v>
      </c>
      <c r="D33"/>
      <c r="F33"/>
      <c r="G33"/>
    </row>
    <row r="34" spans="2:7" x14ac:dyDescent="0.35">
      <c r="B34" s="67">
        <v>46012</v>
      </c>
      <c r="C34" s="8" t="s">
        <v>473</v>
      </c>
      <c r="D34"/>
      <c r="F34"/>
      <c r="G34"/>
    </row>
    <row r="35" spans="2:7" x14ac:dyDescent="0.35">
      <c r="B35" s="68">
        <v>46015</v>
      </c>
      <c r="C35" s="9" t="s">
        <v>454</v>
      </c>
      <c r="D35"/>
      <c r="G35"/>
    </row>
    <row r="36" spans="2:7" x14ac:dyDescent="0.35">
      <c r="B36" s="67">
        <v>46019</v>
      </c>
      <c r="C36" s="8" t="s">
        <v>454</v>
      </c>
      <c r="D36"/>
      <c r="G36"/>
    </row>
    <row r="37" spans="2:7" x14ac:dyDescent="0.35">
      <c r="B37" s="68">
        <v>46022</v>
      </c>
      <c r="C37" s="9" t="s">
        <v>453</v>
      </c>
      <c r="D37"/>
      <c r="G37"/>
    </row>
    <row r="38" spans="2:7" x14ac:dyDescent="0.35">
      <c r="B38" s="67"/>
      <c r="C38" s="8"/>
      <c r="D38"/>
      <c r="G38"/>
    </row>
    <row r="39" spans="2:7" x14ac:dyDescent="0.35">
      <c r="B39" s="68"/>
      <c r="C39" s="9"/>
      <c r="D39"/>
      <c r="G39"/>
    </row>
    <row r="40" spans="2:7" x14ac:dyDescent="0.35">
      <c r="B40" s="51"/>
      <c r="D40"/>
      <c r="G40"/>
    </row>
    <row r="41" spans="2:7" x14ac:dyDescent="0.35">
      <c r="D41"/>
      <c r="G41"/>
    </row>
    <row r="42" spans="2:7" x14ac:dyDescent="0.35">
      <c r="D42"/>
      <c r="G42"/>
    </row>
  </sheetData>
  <mergeCells count="3">
    <mergeCell ref="E1:F1"/>
    <mergeCell ref="B1:C1"/>
    <mergeCell ref="B15:C1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474E-95FF-4456-8C80-8ABFDFAE3133}">
  <dimension ref="A1:AB45"/>
  <sheetViews>
    <sheetView showGridLines="0" zoomScaleNormal="100" workbookViewId="0">
      <pane xSplit="1" ySplit="3" topLeftCell="B4" activePane="bottomRight" state="frozen"/>
      <selection activeCell="K3" sqref="K3:L3"/>
      <selection pane="topRight" activeCell="K3" sqref="K3:L3"/>
      <selection pane="bottomLeft" activeCell="K3" sqref="K3:L3"/>
      <selection pane="bottomRight" activeCell="AD8" sqref="AD8"/>
    </sheetView>
  </sheetViews>
  <sheetFormatPr defaultRowHeight="14.5" x14ac:dyDescent="0.35"/>
  <cols>
    <col min="1" max="3" width="15.453125" bestFit="1" customWidth="1"/>
    <col min="4" max="5" width="14.6328125" bestFit="1" customWidth="1"/>
    <col min="6" max="6" width="16.08984375" bestFit="1" customWidth="1"/>
    <col min="7" max="7" width="15.36328125" customWidth="1"/>
    <col min="8" max="8" width="3.36328125" hidden="1" customWidth="1"/>
    <col min="9" max="15" width="6.36328125" hidden="1" customWidth="1"/>
    <col min="16" max="16" width="4.6328125" hidden="1" customWidth="1"/>
    <col min="17" max="17" width="5.54296875" style="30" hidden="1" customWidth="1"/>
    <col min="18" max="18" width="6.08984375" style="30" hidden="1" customWidth="1"/>
    <col min="19" max="25" width="6.08984375" hidden="1" customWidth="1"/>
    <col min="26" max="26" width="5.54296875" style="30" hidden="1" customWidth="1"/>
    <col min="27" max="27" width="19.6328125" hidden="1" customWidth="1"/>
    <col min="28" max="28" width="17.453125" hidden="1" customWidth="1"/>
  </cols>
  <sheetData>
    <row r="1" spans="1:28" ht="21" customHeight="1" x14ac:dyDescent="0.35">
      <c r="A1" s="145" t="s">
        <v>12</v>
      </c>
      <c r="B1" s="147" t="s">
        <v>146</v>
      </c>
      <c r="C1" s="149" t="s">
        <v>1</v>
      </c>
      <c r="D1" s="151" t="s">
        <v>2</v>
      </c>
      <c r="E1" s="141" t="s">
        <v>129</v>
      </c>
      <c r="F1" s="143" t="s">
        <v>130</v>
      </c>
      <c r="I1" s="145" t="s">
        <v>12</v>
      </c>
      <c r="J1" s="147" t="s">
        <v>146</v>
      </c>
      <c r="K1" s="149" t="s">
        <v>1</v>
      </c>
      <c r="L1" s="151" t="s">
        <v>2</v>
      </c>
      <c r="M1" s="153" t="s">
        <v>13</v>
      </c>
      <c r="N1" s="141" t="s">
        <v>129</v>
      </c>
      <c r="O1" s="143" t="s">
        <v>130</v>
      </c>
      <c r="R1" s="145" t="s">
        <v>12</v>
      </c>
      <c r="S1" s="147" t="s">
        <v>146</v>
      </c>
      <c r="T1" s="149" t="s">
        <v>1</v>
      </c>
      <c r="U1" s="151" t="s">
        <v>2</v>
      </c>
      <c r="V1" s="153" t="s">
        <v>13</v>
      </c>
      <c r="W1" s="141" t="s">
        <v>129</v>
      </c>
      <c r="X1" s="143" t="s">
        <v>130</v>
      </c>
      <c r="AA1" s="30"/>
    </row>
    <row r="2" spans="1:28" ht="21" customHeight="1" x14ac:dyDescent="0.35">
      <c r="A2" s="145"/>
      <c r="B2" s="147"/>
      <c r="C2" s="149"/>
      <c r="D2" s="151"/>
      <c r="E2" s="141"/>
      <c r="F2" s="143"/>
      <c r="I2" s="145"/>
      <c r="J2" s="147"/>
      <c r="K2" s="149"/>
      <c r="L2" s="151"/>
      <c r="M2" s="153"/>
      <c r="N2" s="141"/>
      <c r="O2" s="143"/>
      <c r="R2" s="145"/>
      <c r="S2" s="147"/>
      <c r="T2" s="149"/>
      <c r="U2" s="151"/>
      <c r="V2" s="153"/>
      <c r="W2" s="141"/>
      <c r="X2" s="143"/>
      <c r="AA2" s="30"/>
    </row>
    <row r="3" spans="1:28" ht="30" customHeight="1" x14ac:dyDescent="0.35">
      <c r="A3" s="146"/>
      <c r="B3" s="148"/>
      <c r="C3" s="150"/>
      <c r="D3" s="152"/>
      <c r="E3" s="142"/>
      <c r="F3" s="144"/>
      <c r="I3" s="146"/>
      <c r="J3" s="148"/>
      <c r="K3" s="150"/>
      <c r="L3" s="152"/>
      <c r="M3" s="154"/>
      <c r="N3" s="142"/>
      <c r="O3" s="144"/>
      <c r="R3" s="146"/>
      <c r="S3" s="148"/>
      <c r="T3" s="150"/>
      <c r="U3" s="152"/>
      <c r="V3" s="154"/>
      <c r="W3" s="142"/>
      <c r="X3" s="144"/>
      <c r="AA3" s="30"/>
      <c r="AB3" t="s">
        <v>305</v>
      </c>
    </row>
    <row r="4" spans="1:28" ht="30" customHeight="1" x14ac:dyDescent="0.35">
      <c r="A4" s="12" t="s">
        <v>231</v>
      </c>
      <c r="B4" s="29" t="s">
        <v>231</v>
      </c>
      <c r="C4" s="29" t="s">
        <v>231</v>
      </c>
      <c r="D4" s="40" t="s">
        <v>9</v>
      </c>
      <c r="E4" s="40" t="s">
        <v>9</v>
      </c>
      <c r="F4" s="29" t="s">
        <v>362</v>
      </c>
      <c r="H4" s="30">
        <v>1</v>
      </c>
      <c r="I4" s="12"/>
      <c r="J4" s="12"/>
      <c r="K4" s="12"/>
      <c r="L4" s="11"/>
      <c r="M4" s="11"/>
      <c r="N4" s="11"/>
      <c r="O4" s="29">
        <v>1</v>
      </c>
      <c r="Q4" s="30">
        <f ca="1">RAND()</f>
        <v>0.35605747273896327</v>
      </c>
      <c r="R4" s="31"/>
      <c r="S4" s="31"/>
      <c r="T4" s="31"/>
      <c r="U4" s="32"/>
      <c r="V4" s="32"/>
      <c r="W4" s="32"/>
      <c r="X4" s="29">
        <v>1</v>
      </c>
      <c r="Z4" s="30">
        <v>1</v>
      </c>
      <c r="AA4" s="12" t="s">
        <v>132</v>
      </c>
      <c r="AB4" s="12" t="s">
        <v>231</v>
      </c>
    </row>
    <row r="5" spans="1:28" s="3" customFormat="1" ht="30" customHeight="1" x14ac:dyDescent="0.35">
      <c r="A5" s="12" t="s">
        <v>9</v>
      </c>
      <c r="B5" s="29" t="s">
        <v>371</v>
      </c>
      <c r="C5" s="29" t="s">
        <v>371</v>
      </c>
      <c r="D5" s="11" t="s">
        <v>24</v>
      </c>
      <c r="E5" s="11" t="s">
        <v>208</v>
      </c>
      <c r="F5" s="29" t="s">
        <v>230</v>
      </c>
      <c r="G5"/>
      <c r="H5" s="30">
        <v>2</v>
      </c>
      <c r="I5" s="29"/>
      <c r="J5" s="29"/>
      <c r="K5" s="29"/>
      <c r="L5" s="11"/>
      <c r="M5" s="11"/>
      <c r="N5" s="11"/>
      <c r="O5" s="29">
        <v>2</v>
      </c>
      <c r="P5"/>
      <c r="Q5" s="30">
        <f t="shared" ref="Q5:Q36" ca="1" si="0">RAND()</f>
        <v>0.69416395591119773</v>
      </c>
      <c r="R5" s="33"/>
      <c r="S5" s="33"/>
      <c r="T5" s="33"/>
      <c r="U5" s="32"/>
      <c r="V5" s="32"/>
      <c r="W5" s="32"/>
      <c r="X5" s="29">
        <v>2</v>
      </c>
      <c r="Y5"/>
      <c r="Z5" s="30">
        <v>2</v>
      </c>
      <c r="AA5" s="12" t="s">
        <v>133</v>
      </c>
      <c r="AB5" s="12" t="s">
        <v>210</v>
      </c>
    </row>
    <row r="6" spans="1:28" s="3" customFormat="1" ht="30" customHeight="1" x14ac:dyDescent="0.35">
      <c r="A6" s="11" t="s">
        <v>208</v>
      </c>
      <c r="B6" s="29" t="s">
        <v>24</v>
      </c>
      <c r="C6" s="29" t="s">
        <v>24</v>
      </c>
      <c r="D6" s="12" t="s">
        <v>359</v>
      </c>
      <c r="E6" s="11" t="s">
        <v>209</v>
      </c>
      <c r="F6" s="12" t="s">
        <v>9</v>
      </c>
      <c r="G6"/>
      <c r="H6" s="30">
        <v>3</v>
      </c>
      <c r="I6" s="12"/>
      <c r="J6" s="12"/>
      <c r="K6" s="12"/>
      <c r="L6" s="12"/>
      <c r="M6" s="12"/>
      <c r="N6" s="12"/>
      <c r="O6" s="29">
        <v>3</v>
      </c>
      <c r="P6"/>
      <c r="Q6" s="30">
        <f t="shared" ca="1" si="0"/>
        <v>0.8035402042031855</v>
      </c>
      <c r="R6" s="31"/>
      <c r="S6" s="31"/>
      <c r="T6" s="31"/>
      <c r="U6" s="31"/>
      <c r="V6" s="31"/>
      <c r="W6" s="31"/>
      <c r="X6" s="29">
        <v>3</v>
      </c>
      <c r="Y6"/>
      <c r="Z6" s="30">
        <v>3</v>
      </c>
      <c r="AA6" s="12" t="s">
        <v>134</v>
      </c>
      <c r="AB6" s="29" t="s">
        <v>212</v>
      </c>
    </row>
    <row r="7" spans="1:28" ht="30" customHeight="1" x14ac:dyDescent="0.35">
      <c r="A7" s="12" t="s">
        <v>307</v>
      </c>
      <c r="B7" s="11" t="s">
        <v>208</v>
      </c>
      <c r="C7" s="12" t="s">
        <v>359</v>
      </c>
      <c r="D7" s="11" t="s">
        <v>212</v>
      </c>
      <c r="E7" s="12" t="s">
        <v>204</v>
      </c>
      <c r="F7" s="29" t="s">
        <v>193</v>
      </c>
      <c r="H7" s="30">
        <v>4</v>
      </c>
      <c r="I7" s="29"/>
      <c r="J7" s="29"/>
      <c r="K7" s="29"/>
      <c r="L7" s="11"/>
      <c r="M7" s="11"/>
      <c r="N7" s="11"/>
      <c r="O7" s="29">
        <v>4</v>
      </c>
      <c r="Q7" s="30">
        <f t="shared" ca="1" si="0"/>
        <v>0.37058042218804488</v>
      </c>
      <c r="R7" s="33"/>
      <c r="S7" s="33"/>
      <c r="T7" s="33"/>
      <c r="U7" s="32"/>
      <c r="V7" s="32"/>
      <c r="W7" s="32"/>
      <c r="X7" s="29">
        <v>4</v>
      </c>
      <c r="Z7" s="30">
        <v>4</v>
      </c>
      <c r="AA7" s="12" t="s">
        <v>135</v>
      </c>
      <c r="AB7" s="12" t="s">
        <v>205</v>
      </c>
    </row>
    <row r="8" spans="1:28" s="3" customFormat="1" ht="30" customHeight="1" x14ac:dyDescent="0.35">
      <c r="A8" s="12" t="s">
        <v>210</v>
      </c>
      <c r="B8" s="12" t="s">
        <v>359</v>
      </c>
      <c r="C8" s="12" t="s">
        <v>307</v>
      </c>
      <c r="D8" s="40" t="s">
        <v>204</v>
      </c>
      <c r="E8" s="12" t="s">
        <v>199</v>
      </c>
      <c r="F8" s="29" t="s">
        <v>194</v>
      </c>
      <c r="G8"/>
      <c r="H8" s="30">
        <v>5</v>
      </c>
      <c r="I8" s="12"/>
      <c r="J8" s="12"/>
      <c r="K8" s="12"/>
      <c r="L8" s="11"/>
      <c r="M8" s="11"/>
      <c r="N8" s="11"/>
      <c r="O8" s="29">
        <v>5</v>
      </c>
      <c r="P8"/>
      <c r="Q8" s="30">
        <f t="shared" ca="1" si="0"/>
        <v>0.98083308225411536</v>
      </c>
      <c r="R8" s="31"/>
      <c r="S8" s="31"/>
      <c r="T8" s="31"/>
      <c r="U8" s="32"/>
      <c r="V8" s="32"/>
      <c r="W8" s="32"/>
      <c r="X8" s="29">
        <v>5</v>
      </c>
      <c r="Y8"/>
      <c r="Z8" s="30">
        <v>5</v>
      </c>
      <c r="AA8" s="12" t="s">
        <v>136</v>
      </c>
      <c r="AB8" s="12" t="s">
        <v>10</v>
      </c>
    </row>
    <row r="9" spans="1:28" ht="30" customHeight="1" x14ac:dyDescent="0.35">
      <c r="A9" s="12" t="s">
        <v>338</v>
      </c>
      <c r="B9" s="12" t="s">
        <v>307</v>
      </c>
      <c r="C9" s="12" t="s">
        <v>210</v>
      </c>
      <c r="D9" s="12" t="s">
        <v>199</v>
      </c>
      <c r="E9" s="11" t="s">
        <v>203</v>
      </c>
      <c r="F9" s="29" t="s">
        <v>195</v>
      </c>
      <c r="H9" s="30">
        <v>6</v>
      </c>
      <c r="I9" s="29"/>
      <c r="J9" s="29"/>
      <c r="K9" s="29"/>
      <c r="L9" s="11"/>
      <c r="M9" s="11"/>
      <c r="N9" s="11"/>
      <c r="O9" s="29">
        <v>6</v>
      </c>
      <c r="Q9" s="30">
        <f t="shared" ca="1" si="0"/>
        <v>0.189855557840786</v>
      </c>
      <c r="R9" s="33"/>
      <c r="S9" s="33"/>
      <c r="T9" s="33"/>
      <c r="U9" s="32"/>
      <c r="V9" s="32"/>
      <c r="W9" s="32"/>
      <c r="X9" s="29">
        <v>6</v>
      </c>
      <c r="Z9" s="30">
        <v>6</v>
      </c>
      <c r="AA9" s="12" t="s">
        <v>137</v>
      </c>
      <c r="AB9" s="12" t="s">
        <v>211</v>
      </c>
    </row>
    <row r="10" spans="1:28" s="3" customFormat="1" ht="30" customHeight="1" x14ac:dyDescent="0.35">
      <c r="A10" s="12" t="s">
        <v>205</v>
      </c>
      <c r="B10" s="12" t="s">
        <v>210</v>
      </c>
      <c r="C10" s="12" t="s">
        <v>338</v>
      </c>
      <c r="D10" s="40" t="s">
        <v>367</v>
      </c>
      <c r="E10" s="12" t="s">
        <v>225</v>
      </c>
      <c r="F10" s="29" t="s">
        <v>141</v>
      </c>
      <c r="G10"/>
      <c r="H10" s="30">
        <v>7</v>
      </c>
      <c r="I10" s="12"/>
      <c r="J10" s="12"/>
      <c r="K10" s="12"/>
      <c r="L10" s="12"/>
      <c r="M10" s="12"/>
      <c r="N10" s="12"/>
      <c r="O10" s="29">
        <v>7</v>
      </c>
      <c r="P10"/>
      <c r="Q10" s="30">
        <f t="shared" ca="1" si="0"/>
        <v>0.25447051525511477</v>
      </c>
      <c r="R10" s="31"/>
      <c r="S10" s="31"/>
      <c r="T10" s="31"/>
      <c r="U10" s="31"/>
      <c r="V10" s="31"/>
      <c r="W10" s="31"/>
      <c r="X10" s="29">
        <v>7</v>
      </c>
      <c r="Y10"/>
      <c r="Z10" s="30">
        <v>7</v>
      </c>
      <c r="AA10" s="12" t="s">
        <v>138</v>
      </c>
      <c r="AB10" s="11" t="s">
        <v>203</v>
      </c>
    </row>
    <row r="11" spans="1:28" ht="30" customHeight="1" x14ac:dyDescent="0.35">
      <c r="A11" s="12" t="s">
        <v>209</v>
      </c>
      <c r="B11" s="12" t="s">
        <v>338</v>
      </c>
      <c r="C11" s="29" t="s">
        <v>212</v>
      </c>
      <c r="D11" s="29"/>
      <c r="E11" s="11" t="s">
        <v>207</v>
      </c>
      <c r="F11" s="12" t="s">
        <v>204</v>
      </c>
      <c r="H11" s="30">
        <v>8</v>
      </c>
      <c r="I11" s="29"/>
      <c r="J11" s="29"/>
      <c r="K11" s="29"/>
      <c r="L11" s="11"/>
      <c r="M11" s="11"/>
      <c r="N11" s="11"/>
      <c r="O11" s="29">
        <v>8</v>
      </c>
      <c r="Q11" s="30">
        <f t="shared" ca="1" si="0"/>
        <v>0.20919801170501762</v>
      </c>
      <c r="R11" s="33"/>
      <c r="S11" s="33"/>
      <c r="T11" s="33"/>
      <c r="U11" s="32"/>
      <c r="V11" s="32"/>
      <c r="W11" s="32"/>
      <c r="X11" s="29">
        <v>8</v>
      </c>
      <c r="Z11" s="30">
        <v>8</v>
      </c>
      <c r="AA11" s="12" t="s">
        <v>27</v>
      </c>
      <c r="AB11" s="12" t="s">
        <v>206</v>
      </c>
    </row>
    <row r="12" spans="1:28" ht="30" customHeight="1" x14ac:dyDescent="0.35">
      <c r="A12" s="12" t="s">
        <v>308</v>
      </c>
      <c r="B12" s="29" t="s">
        <v>212</v>
      </c>
      <c r="C12" s="12" t="s">
        <v>205</v>
      </c>
      <c r="D12" s="11"/>
      <c r="E12" s="40"/>
      <c r="F12" s="12" t="s">
        <v>199</v>
      </c>
      <c r="H12" s="30">
        <v>9</v>
      </c>
      <c r="I12" s="29"/>
      <c r="J12" s="29"/>
      <c r="K12" s="29"/>
      <c r="L12" s="29"/>
      <c r="M12" s="29"/>
      <c r="N12" s="29"/>
      <c r="O12" s="29">
        <v>9</v>
      </c>
      <c r="Q12" s="30">
        <f t="shared" ca="1" si="0"/>
        <v>0.42450250127954625</v>
      </c>
      <c r="R12" s="33"/>
      <c r="S12" s="33"/>
      <c r="T12" s="33"/>
      <c r="U12" s="33"/>
      <c r="V12" s="33"/>
      <c r="W12" s="33"/>
      <c r="X12" s="29">
        <v>9</v>
      </c>
      <c r="Z12" s="30">
        <v>9</v>
      </c>
      <c r="AA12" s="12" t="s">
        <v>139</v>
      </c>
      <c r="AB12" s="12" t="s">
        <v>225</v>
      </c>
    </row>
    <row r="13" spans="1:28" s="3" customFormat="1" ht="30" customHeight="1" x14ac:dyDescent="0.35">
      <c r="A13" s="12" t="s">
        <v>211</v>
      </c>
      <c r="B13" s="12" t="s">
        <v>370</v>
      </c>
      <c r="C13" s="29" t="s">
        <v>209</v>
      </c>
      <c r="D13" s="40"/>
      <c r="E13" s="11"/>
      <c r="F13" s="29" t="s">
        <v>192</v>
      </c>
      <c r="G13"/>
      <c r="H13" s="30">
        <v>10</v>
      </c>
      <c r="I13" s="11"/>
      <c r="J13" s="12"/>
      <c r="K13" s="12"/>
      <c r="L13" s="12"/>
      <c r="M13" s="12"/>
      <c r="N13" s="12"/>
      <c r="O13" s="29">
        <v>10</v>
      </c>
      <c r="P13"/>
      <c r="Q13" s="30">
        <f t="shared" ca="1" si="0"/>
        <v>0.26889290911721553</v>
      </c>
      <c r="R13" s="32"/>
      <c r="S13" s="31"/>
      <c r="T13" s="31"/>
      <c r="U13" s="31"/>
      <c r="V13" s="31"/>
      <c r="W13" s="31"/>
      <c r="X13" s="29">
        <v>10</v>
      </c>
      <c r="Y13"/>
      <c r="Z13" s="30">
        <v>10</v>
      </c>
      <c r="AA13" s="12" t="s">
        <v>140</v>
      </c>
      <c r="AB13" s="40" t="s">
        <v>5</v>
      </c>
    </row>
    <row r="14" spans="1:28" ht="30" customHeight="1" x14ac:dyDescent="0.35">
      <c r="A14" s="12" t="s">
        <v>204</v>
      </c>
      <c r="B14" s="29" t="s">
        <v>366</v>
      </c>
      <c r="C14" s="12" t="s">
        <v>211</v>
      </c>
      <c r="D14" s="11"/>
      <c r="E14" s="29"/>
      <c r="F14" s="29" t="s">
        <v>203</v>
      </c>
      <c r="H14" s="30">
        <v>11</v>
      </c>
      <c r="I14" s="11"/>
      <c r="J14" s="12"/>
      <c r="K14" s="12"/>
      <c r="L14" s="11"/>
      <c r="M14" s="11"/>
      <c r="N14" s="11"/>
      <c r="O14" s="29">
        <v>11</v>
      </c>
      <c r="Q14" s="30">
        <f t="shared" ca="1" si="0"/>
        <v>0.3340428253767429</v>
      </c>
      <c r="R14" s="32"/>
      <c r="S14" s="31"/>
      <c r="T14" s="31"/>
      <c r="U14" s="32"/>
      <c r="V14" s="32"/>
      <c r="W14" s="32"/>
      <c r="X14" s="29">
        <v>11</v>
      </c>
      <c r="Z14" s="30">
        <v>11</v>
      </c>
      <c r="AA14" s="12" t="s">
        <v>141</v>
      </c>
      <c r="AB14" s="29" t="s">
        <v>207</v>
      </c>
    </row>
    <row r="15" spans="1:28" s="3" customFormat="1" ht="30" customHeight="1" x14ac:dyDescent="0.35">
      <c r="A15" s="12" t="s">
        <v>199</v>
      </c>
      <c r="B15" s="12" t="s">
        <v>205</v>
      </c>
      <c r="C15" s="12" t="s">
        <v>308</v>
      </c>
      <c r="D15" s="11"/>
      <c r="E15" s="12"/>
      <c r="F15" s="29" t="s">
        <v>202</v>
      </c>
      <c r="G15"/>
      <c r="H15" s="30">
        <v>12</v>
      </c>
      <c r="I15" s="11"/>
      <c r="J15" s="12"/>
      <c r="K15" s="12"/>
      <c r="L15" s="11"/>
      <c r="M15" s="11"/>
      <c r="N15" s="11"/>
      <c r="O15" s="29">
        <v>12</v>
      </c>
      <c r="P15"/>
      <c r="Q15" s="30">
        <f t="shared" ca="1" si="0"/>
        <v>0.64162565855825737</v>
      </c>
      <c r="R15" s="32"/>
      <c r="S15" s="31"/>
      <c r="T15" s="31"/>
      <c r="U15" s="32"/>
      <c r="V15" s="32"/>
      <c r="W15" s="32"/>
      <c r="X15" s="29">
        <v>12</v>
      </c>
      <c r="Y15"/>
      <c r="Z15" s="30">
        <v>12</v>
      </c>
      <c r="AA15" s="12" t="s">
        <v>142</v>
      </c>
      <c r="AB15"/>
    </row>
    <row r="16" spans="1:28" ht="30" customHeight="1" x14ac:dyDescent="0.35">
      <c r="A16" s="11" t="s">
        <v>203</v>
      </c>
      <c r="B16" s="12" t="s">
        <v>209</v>
      </c>
      <c r="C16" s="29" t="s">
        <v>203</v>
      </c>
      <c r="D16" s="11"/>
      <c r="E16" s="11"/>
      <c r="F16" s="29" t="s">
        <v>196</v>
      </c>
      <c r="H16" s="30">
        <v>13</v>
      </c>
      <c r="I16" s="11"/>
      <c r="J16" s="12"/>
      <c r="K16" s="12"/>
      <c r="L16" s="11"/>
      <c r="M16" s="11"/>
      <c r="N16" s="11"/>
      <c r="O16" s="29">
        <v>13</v>
      </c>
      <c r="Q16" s="30">
        <f t="shared" ca="1" si="0"/>
        <v>0.76472971028966241</v>
      </c>
      <c r="R16" s="32"/>
      <c r="S16" s="31"/>
      <c r="T16" s="31"/>
      <c r="U16" s="32"/>
      <c r="V16" s="32"/>
      <c r="W16" s="32"/>
      <c r="X16" s="29">
        <v>13</v>
      </c>
      <c r="Z16" s="30">
        <v>13</v>
      </c>
      <c r="AA16" s="12" t="s">
        <v>143</v>
      </c>
    </row>
    <row r="17" spans="1:27" ht="30" customHeight="1" x14ac:dyDescent="0.35">
      <c r="A17" s="11" t="s">
        <v>309</v>
      </c>
      <c r="B17" s="29" t="s">
        <v>211</v>
      </c>
      <c r="C17" s="11" t="s">
        <v>309</v>
      </c>
      <c r="D17" s="12"/>
      <c r="E17" s="11"/>
      <c r="F17" s="29" t="s">
        <v>198</v>
      </c>
      <c r="H17" s="30">
        <v>14</v>
      </c>
      <c r="I17" s="11">
        <v>14</v>
      </c>
      <c r="J17" s="11">
        <v>14</v>
      </c>
      <c r="K17" s="11">
        <v>14</v>
      </c>
      <c r="L17" s="11">
        <v>14</v>
      </c>
      <c r="M17" s="11">
        <v>14</v>
      </c>
      <c r="N17" s="11">
        <v>14</v>
      </c>
      <c r="O17" s="12">
        <v>14</v>
      </c>
      <c r="Q17" s="30">
        <f t="shared" ca="1" si="0"/>
        <v>0.50022557186435079</v>
      </c>
      <c r="R17" s="11">
        <v>14</v>
      </c>
      <c r="S17" s="11">
        <v>14</v>
      </c>
      <c r="T17" s="11">
        <v>14</v>
      </c>
      <c r="U17" s="11">
        <v>14</v>
      </c>
      <c r="V17" s="11">
        <v>14</v>
      </c>
      <c r="W17" s="11">
        <v>14</v>
      </c>
      <c r="X17" s="12">
        <v>14</v>
      </c>
      <c r="Z17" s="30">
        <v>14</v>
      </c>
      <c r="AA17" s="12" t="s">
        <v>21</v>
      </c>
    </row>
    <row r="18" spans="1:27" ht="30" customHeight="1" x14ac:dyDescent="0.35">
      <c r="A18" s="40" t="s">
        <v>206</v>
      </c>
      <c r="B18" s="11" t="s">
        <v>308</v>
      </c>
      <c r="C18" s="12" t="s">
        <v>206</v>
      </c>
      <c r="D18" s="29"/>
      <c r="E18" s="11"/>
      <c r="F18" s="12" t="s">
        <v>206</v>
      </c>
      <c r="H18" s="30">
        <v>15</v>
      </c>
      <c r="I18" s="11">
        <v>15</v>
      </c>
      <c r="J18" s="11">
        <v>15</v>
      </c>
      <c r="K18" s="11">
        <v>15</v>
      </c>
      <c r="L18" s="11">
        <v>15</v>
      </c>
      <c r="M18" s="11">
        <v>15</v>
      </c>
      <c r="N18" s="11">
        <v>15</v>
      </c>
      <c r="O18" s="12">
        <v>15</v>
      </c>
      <c r="Q18" s="30">
        <f t="shared" ca="1" si="0"/>
        <v>0.48724174898765205</v>
      </c>
      <c r="R18" s="11">
        <v>15</v>
      </c>
      <c r="S18" s="11">
        <v>15</v>
      </c>
      <c r="T18" s="11">
        <v>15</v>
      </c>
      <c r="U18" s="11">
        <v>15</v>
      </c>
      <c r="V18" s="11">
        <v>15</v>
      </c>
      <c r="W18" s="11">
        <v>15</v>
      </c>
      <c r="X18" s="12">
        <v>15</v>
      </c>
      <c r="Z18" s="30">
        <v>15</v>
      </c>
      <c r="AA18" s="12" t="s">
        <v>9</v>
      </c>
    </row>
    <row r="19" spans="1:27" ht="30" customHeight="1" x14ac:dyDescent="0.35">
      <c r="A19" s="12" t="s">
        <v>225</v>
      </c>
      <c r="B19" s="12" t="s">
        <v>203</v>
      </c>
      <c r="C19" s="12" t="s">
        <v>367</v>
      </c>
      <c r="D19" s="29"/>
      <c r="E19" s="40"/>
      <c r="F19" s="29" t="s">
        <v>201</v>
      </c>
      <c r="H19" s="30">
        <v>16</v>
      </c>
      <c r="I19" s="29">
        <v>16</v>
      </c>
      <c r="J19" s="29">
        <v>16</v>
      </c>
      <c r="K19" s="29">
        <v>16</v>
      </c>
      <c r="L19" s="29">
        <v>16</v>
      </c>
      <c r="M19" s="29">
        <v>16</v>
      </c>
      <c r="N19" s="29">
        <v>16</v>
      </c>
      <c r="O19" s="12">
        <v>16</v>
      </c>
      <c r="Q19" s="30">
        <f t="shared" ca="1" si="0"/>
        <v>0.13257429178019731</v>
      </c>
      <c r="R19" s="29">
        <v>16</v>
      </c>
      <c r="S19" s="29">
        <v>16</v>
      </c>
      <c r="T19" s="29">
        <v>16</v>
      </c>
      <c r="U19" s="29">
        <v>16</v>
      </c>
      <c r="V19" s="29">
        <v>16</v>
      </c>
      <c r="W19" s="29">
        <v>16</v>
      </c>
      <c r="X19" s="12">
        <v>16</v>
      </c>
      <c r="Z19" s="30">
        <v>16</v>
      </c>
      <c r="AA19" s="12" t="s">
        <v>145</v>
      </c>
    </row>
    <row r="20" spans="1:27" ht="30" customHeight="1" x14ac:dyDescent="0.35">
      <c r="A20" s="12" t="s">
        <v>5</v>
      </c>
      <c r="B20" s="12" t="s">
        <v>309</v>
      </c>
      <c r="C20" s="29" t="s">
        <v>225</v>
      </c>
      <c r="D20" s="40"/>
      <c r="E20" s="11"/>
      <c r="F20" s="29" t="s">
        <v>191</v>
      </c>
      <c r="H20" s="30">
        <v>17</v>
      </c>
      <c r="I20" s="11">
        <v>17</v>
      </c>
      <c r="J20" s="11">
        <v>17</v>
      </c>
      <c r="K20" s="11">
        <v>17</v>
      </c>
      <c r="L20" s="11"/>
      <c r="M20" s="11"/>
      <c r="N20" s="29">
        <v>17</v>
      </c>
      <c r="O20" s="29">
        <v>17</v>
      </c>
      <c r="Q20" s="30">
        <f t="shared" ca="1" si="0"/>
        <v>0.32071076322303849</v>
      </c>
      <c r="R20" s="11">
        <v>17</v>
      </c>
      <c r="S20" s="11">
        <v>17</v>
      </c>
      <c r="T20" s="11">
        <v>17</v>
      </c>
      <c r="U20" s="32"/>
      <c r="V20" s="32"/>
      <c r="W20" s="29">
        <v>17</v>
      </c>
      <c r="X20" s="29">
        <v>17</v>
      </c>
      <c r="Z20" s="30">
        <v>17</v>
      </c>
      <c r="AA20" s="12" t="s">
        <v>18</v>
      </c>
    </row>
    <row r="21" spans="1:27" ht="30" customHeight="1" x14ac:dyDescent="0.35">
      <c r="A21" s="11" t="s">
        <v>207</v>
      </c>
      <c r="B21" s="12" t="s">
        <v>372</v>
      </c>
      <c r="C21" s="29" t="s">
        <v>5</v>
      </c>
      <c r="D21" s="29"/>
      <c r="E21" s="29"/>
      <c r="F21" s="29" t="s">
        <v>207</v>
      </c>
      <c r="H21" s="30">
        <v>18</v>
      </c>
      <c r="I21" s="11">
        <v>18</v>
      </c>
      <c r="J21" s="11">
        <v>18</v>
      </c>
      <c r="K21" s="11">
        <v>18</v>
      </c>
      <c r="L21" s="11">
        <v>18</v>
      </c>
      <c r="M21" s="11">
        <v>18</v>
      </c>
      <c r="N21" s="11"/>
      <c r="O21" s="12">
        <v>18</v>
      </c>
      <c r="Q21" s="30">
        <f t="shared" ca="1" si="0"/>
        <v>0.33298678829664585</v>
      </c>
      <c r="R21" s="11">
        <v>18</v>
      </c>
      <c r="S21" s="11">
        <v>18</v>
      </c>
      <c r="T21" s="11">
        <v>18</v>
      </c>
      <c r="U21" s="11">
        <v>18</v>
      </c>
      <c r="V21" s="11">
        <v>18</v>
      </c>
      <c r="W21" s="32"/>
      <c r="X21" s="12">
        <v>18</v>
      </c>
      <c r="Z21" s="30">
        <v>18</v>
      </c>
      <c r="AA21" s="12" t="s">
        <v>6</v>
      </c>
    </row>
    <row r="22" spans="1:27" ht="30" customHeight="1" x14ac:dyDescent="0.35">
      <c r="A22" s="12" t="s">
        <v>306</v>
      </c>
      <c r="B22" s="29" t="s">
        <v>206</v>
      </c>
      <c r="C22" s="12" t="s">
        <v>368</v>
      </c>
      <c r="D22" s="29"/>
      <c r="E22" s="12"/>
      <c r="F22" s="29" t="s">
        <v>134</v>
      </c>
      <c r="H22" s="30">
        <v>19</v>
      </c>
      <c r="I22" s="12">
        <v>19</v>
      </c>
      <c r="J22" s="12">
        <v>19</v>
      </c>
      <c r="K22" s="12">
        <v>19</v>
      </c>
      <c r="L22" s="12"/>
      <c r="M22" s="12"/>
      <c r="N22" s="12"/>
      <c r="O22" s="12">
        <v>19</v>
      </c>
      <c r="Q22" s="30">
        <f t="shared" ca="1" si="0"/>
        <v>0.15390394514216299</v>
      </c>
      <c r="R22" s="12">
        <v>19</v>
      </c>
      <c r="S22" s="12">
        <v>19</v>
      </c>
      <c r="T22" s="12">
        <v>19</v>
      </c>
      <c r="U22" s="31"/>
      <c r="V22" s="31"/>
      <c r="W22" s="31"/>
      <c r="X22" s="12">
        <v>19</v>
      </c>
      <c r="Z22" s="30">
        <v>19</v>
      </c>
      <c r="AA22" s="12" t="s">
        <v>22</v>
      </c>
    </row>
    <row r="23" spans="1:27" ht="30" customHeight="1" x14ac:dyDescent="0.35">
      <c r="A23" s="12"/>
      <c r="B23" s="29" t="s">
        <v>367</v>
      </c>
      <c r="C23" s="12" t="s">
        <v>207</v>
      </c>
      <c r="D23" s="11"/>
      <c r="E23" s="29"/>
      <c r="F23" s="29" t="s">
        <v>197</v>
      </c>
      <c r="H23" s="30">
        <v>20</v>
      </c>
      <c r="I23" s="11">
        <v>20</v>
      </c>
      <c r="J23" s="11">
        <v>20</v>
      </c>
      <c r="K23" s="11">
        <v>20</v>
      </c>
      <c r="L23" s="11"/>
      <c r="M23" s="11"/>
      <c r="N23" s="11"/>
      <c r="O23" s="29">
        <v>20</v>
      </c>
      <c r="Q23" s="30">
        <f t="shared" ca="1" si="0"/>
        <v>0.85839209468484812</v>
      </c>
      <c r="R23" s="11">
        <v>20</v>
      </c>
      <c r="S23" s="11">
        <v>20</v>
      </c>
      <c r="T23" s="11">
        <v>20</v>
      </c>
      <c r="U23" s="32"/>
      <c r="V23" s="32"/>
      <c r="W23" s="32"/>
      <c r="X23" s="29">
        <v>20</v>
      </c>
      <c r="Z23" s="30">
        <v>20</v>
      </c>
      <c r="AA23" s="12" t="s">
        <v>144</v>
      </c>
    </row>
    <row r="24" spans="1:27" ht="30" customHeight="1" x14ac:dyDescent="0.35">
      <c r="A24" s="29"/>
      <c r="B24" s="12" t="s">
        <v>225</v>
      </c>
      <c r="C24" s="29" t="s">
        <v>369</v>
      </c>
      <c r="D24" s="11"/>
      <c r="E24" s="29"/>
      <c r="F24" s="29" t="s">
        <v>306</v>
      </c>
      <c r="H24" s="30">
        <v>21</v>
      </c>
      <c r="I24" s="11">
        <v>21</v>
      </c>
      <c r="J24" s="11">
        <v>21</v>
      </c>
      <c r="K24" s="11">
        <v>21</v>
      </c>
      <c r="L24" s="11"/>
      <c r="M24" s="11"/>
      <c r="N24" s="11"/>
      <c r="O24" s="29">
        <v>21</v>
      </c>
      <c r="Q24" s="30">
        <f t="shared" ca="1" si="0"/>
        <v>0.33209322907263905</v>
      </c>
      <c r="R24" s="11">
        <v>21</v>
      </c>
      <c r="S24" s="11">
        <v>21</v>
      </c>
      <c r="T24" s="11">
        <v>21</v>
      </c>
      <c r="U24" s="32"/>
      <c r="V24" s="32"/>
      <c r="W24" s="32"/>
      <c r="X24" s="29">
        <v>21</v>
      </c>
      <c r="Z24" s="30">
        <v>21</v>
      </c>
      <c r="AA24" s="12" t="s">
        <v>16</v>
      </c>
    </row>
    <row r="25" spans="1:27" ht="30" customHeight="1" x14ac:dyDescent="0.35">
      <c r="A25" s="12"/>
      <c r="B25" s="12" t="s">
        <v>5</v>
      </c>
      <c r="C25" s="29" t="s">
        <v>306</v>
      </c>
      <c r="D25" s="40"/>
      <c r="E25" s="11"/>
      <c r="F25" s="40"/>
      <c r="H25" s="30">
        <v>22</v>
      </c>
      <c r="I25" s="11">
        <v>22</v>
      </c>
      <c r="J25" s="11">
        <v>22</v>
      </c>
      <c r="K25" s="11">
        <v>22</v>
      </c>
      <c r="L25" s="11"/>
      <c r="M25" s="11"/>
      <c r="N25" s="11"/>
      <c r="O25" s="12"/>
      <c r="Q25" s="30">
        <f t="shared" ca="1" si="0"/>
        <v>0.77419183968401428</v>
      </c>
      <c r="R25" s="11">
        <v>22</v>
      </c>
      <c r="S25" s="11">
        <v>22</v>
      </c>
      <c r="T25" s="11">
        <v>22</v>
      </c>
      <c r="U25" s="32"/>
      <c r="V25" s="32"/>
      <c r="W25" s="32"/>
      <c r="X25" s="31"/>
      <c r="Z25" s="30">
        <v>22</v>
      </c>
      <c r="AA25" s="12" t="s">
        <v>10</v>
      </c>
    </row>
    <row r="26" spans="1:27" ht="30" customHeight="1" x14ac:dyDescent="0.35">
      <c r="A26" s="29"/>
      <c r="B26" s="11" t="s">
        <v>368</v>
      </c>
      <c r="C26" s="12"/>
      <c r="D26" s="40"/>
      <c r="E26" s="29"/>
      <c r="F26" s="29"/>
      <c r="H26" s="30">
        <v>23</v>
      </c>
      <c r="I26" s="11">
        <v>23</v>
      </c>
      <c r="J26" s="11">
        <v>23</v>
      </c>
      <c r="K26" s="11">
        <v>23</v>
      </c>
      <c r="L26" s="11">
        <v>23</v>
      </c>
      <c r="M26" s="11">
        <v>23</v>
      </c>
      <c r="N26" s="11">
        <v>23</v>
      </c>
      <c r="O26" s="12"/>
      <c r="Q26" s="30">
        <f t="shared" ca="1" si="0"/>
        <v>0.74916526742806577</v>
      </c>
      <c r="R26" s="11">
        <v>23</v>
      </c>
      <c r="S26" s="11">
        <v>23</v>
      </c>
      <c r="T26" s="11">
        <v>23</v>
      </c>
      <c r="U26" s="11">
        <v>23</v>
      </c>
      <c r="V26" s="11">
        <v>23</v>
      </c>
      <c r="W26" s="11">
        <v>23</v>
      </c>
      <c r="X26" s="31"/>
      <c r="Z26" s="30">
        <v>23</v>
      </c>
      <c r="AA26" s="12" t="s">
        <v>20</v>
      </c>
    </row>
    <row r="27" spans="1:27" ht="30" customHeight="1" x14ac:dyDescent="0.35">
      <c r="A27" s="12"/>
      <c r="B27" s="12" t="s">
        <v>207</v>
      </c>
      <c r="C27" s="12"/>
      <c r="D27" s="29"/>
      <c r="E27" s="11"/>
      <c r="F27" s="12"/>
      <c r="H27" s="30">
        <v>24</v>
      </c>
      <c r="I27" s="11">
        <v>24</v>
      </c>
      <c r="J27" s="11">
        <v>24</v>
      </c>
      <c r="K27" s="11">
        <v>24</v>
      </c>
      <c r="L27" s="11"/>
      <c r="M27" s="11"/>
      <c r="N27" s="29">
        <v>24</v>
      </c>
      <c r="O27" s="12"/>
      <c r="Q27" s="30">
        <f t="shared" ca="1" si="0"/>
        <v>0.70121765672343173</v>
      </c>
      <c r="R27" s="11">
        <v>24</v>
      </c>
      <c r="S27" s="11">
        <v>24</v>
      </c>
      <c r="T27" s="11">
        <v>24</v>
      </c>
      <c r="U27" s="32"/>
      <c r="V27" s="32"/>
      <c r="W27" s="29">
        <v>24</v>
      </c>
      <c r="X27" s="31"/>
      <c r="Z27" s="30">
        <v>24</v>
      </c>
      <c r="AA27" s="12" t="s">
        <v>15</v>
      </c>
    </row>
    <row r="28" spans="1:27" ht="30" customHeight="1" x14ac:dyDescent="0.35">
      <c r="A28" s="29"/>
      <c r="B28" s="29" t="s">
        <v>369</v>
      </c>
      <c r="C28" s="29"/>
      <c r="D28" s="12"/>
      <c r="E28" s="11"/>
      <c r="H28" s="30">
        <v>25</v>
      </c>
      <c r="I28" s="11">
        <v>25</v>
      </c>
      <c r="J28" s="11">
        <v>25</v>
      </c>
      <c r="K28" s="11">
        <v>25</v>
      </c>
      <c r="L28" s="11"/>
      <c r="M28" s="11"/>
      <c r="N28" s="11"/>
      <c r="O28" s="12"/>
      <c r="Q28" s="30">
        <f t="shared" ca="1" si="0"/>
        <v>8.0248572470643986E-2</v>
      </c>
      <c r="R28" s="11">
        <v>25</v>
      </c>
      <c r="S28" s="11">
        <v>25</v>
      </c>
      <c r="T28" s="11">
        <v>25</v>
      </c>
      <c r="U28" s="32"/>
      <c r="V28" s="32"/>
      <c r="W28" s="32"/>
      <c r="X28" s="31"/>
      <c r="Z28" s="30">
        <v>25</v>
      </c>
      <c r="AA28" s="12" t="s">
        <v>14</v>
      </c>
    </row>
    <row r="29" spans="1:27" ht="30" customHeight="1" x14ac:dyDescent="0.35">
      <c r="A29" s="12"/>
      <c r="B29" s="12" t="s">
        <v>306</v>
      </c>
      <c r="C29" s="40"/>
      <c r="E29" s="40"/>
      <c r="H29" s="30">
        <v>26</v>
      </c>
      <c r="I29" s="11">
        <v>26</v>
      </c>
      <c r="J29" s="11">
        <v>26</v>
      </c>
      <c r="K29" s="11">
        <v>26</v>
      </c>
      <c r="L29" s="11"/>
      <c r="M29" s="11"/>
      <c r="N29" s="11"/>
      <c r="O29" s="12"/>
      <c r="Q29" s="30">
        <f t="shared" ca="1" si="0"/>
        <v>0.55619615098108954</v>
      </c>
      <c r="R29" s="11">
        <v>26</v>
      </c>
      <c r="S29" s="11">
        <v>26</v>
      </c>
      <c r="T29" s="11">
        <v>26</v>
      </c>
      <c r="U29" s="32"/>
      <c r="V29" s="32"/>
      <c r="W29" s="32"/>
      <c r="X29" s="31"/>
      <c r="Z29" s="30">
        <v>26</v>
      </c>
      <c r="AA29" s="12" t="s">
        <v>17</v>
      </c>
    </row>
    <row r="30" spans="1:27" ht="30" customHeight="1" x14ac:dyDescent="0.35">
      <c r="A30" s="29"/>
      <c r="B30" s="29"/>
      <c r="C30" s="40"/>
      <c r="E30" s="40"/>
      <c r="H30" s="30">
        <v>27</v>
      </c>
      <c r="I30" s="11">
        <v>27</v>
      </c>
      <c r="J30" s="11">
        <v>27</v>
      </c>
      <c r="K30" s="11">
        <v>27</v>
      </c>
      <c r="L30" s="11"/>
      <c r="M30" s="11"/>
      <c r="N30" s="11"/>
      <c r="O30" s="12"/>
      <c r="Q30" s="30">
        <f t="shared" ca="1" si="0"/>
        <v>0.47955805087690395</v>
      </c>
      <c r="R30" s="11">
        <v>27</v>
      </c>
      <c r="S30" s="11">
        <v>27</v>
      </c>
      <c r="T30" s="11">
        <v>27</v>
      </c>
      <c r="U30" s="32"/>
      <c r="V30" s="32"/>
      <c r="W30" s="32"/>
      <c r="X30" s="31"/>
      <c r="Z30" s="30">
        <v>27</v>
      </c>
      <c r="AA30" s="12" t="s">
        <v>5</v>
      </c>
    </row>
    <row r="31" spans="1:27" ht="20.149999999999999" customHeight="1" x14ac:dyDescent="0.35">
      <c r="A31" s="29"/>
      <c r="B31" s="29"/>
      <c r="C31" s="29"/>
      <c r="E31" s="29"/>
      <c r="H31" s="30">
        <v>28</v>
      </c>
      <c r="I31" s="11">
        <v>28</v>
      </c>
      <c r="J31" s="11">
        <v>28</v>
      </c>
      <c r="K31" s="11">
        <v>28</v>
      </c>
      <c r="L31" s="11"/>
      <c r="M31" s="11"/>
      <c r="N31" s="11"/>
      <c r="O31" s="12"/>
      <c r="Q31" s="30">
        <f t="shared" ca="1" si="0"/>
        <v>0.827016578571661</v>
      </c>
      <c r="R31" s="11">
        <v>28</v>
      </c>
      <c r="S31" s="11">
        <v>28</v>
      </c>
      <c r="T31" s="11">
        <v>28</v>
      </c>
      <c r="U31" s="32"/>
      <c r="V31" s="32"/>
      <c r="W31" s="32"/>
      <c r="X31" s="31"/>
      <c r="Z31" s="30">
        <v>28</v>
      </c>
      <c r="AA31" s="29" t="s">
        <v>19</v>
      </c>
    </row>
    <row r="32" spans="1:27" ht="20.149999999999999" customHeight="1" x14ac:dyDescent="0.35">
      <c r="A32" s="29"/>
      <c r="B32" s="12"/>
      <c r="C32" s="12"/>
      <c r="E32" s="12"/>
      <c r="H32" s="30">
        <v>29</v>
      </c>
      <c r="I32" s="29">
        <v>29</v>
      </c>
      <c r="J32" s="29">
        <v>29</v>
      </c>
      <c r="K32" s="29">
        <v>29</v>
      </c>
      <c r="L32" s="29">
        <v>29</v>
      </c>
      <c r="M32" s="29">
        <v>29</v>
      </c>
      <c r="N32" s="11"/>
      <c r="O32" s="12"/>
      <c r="Q32" s="30">
        <f t="shared" ca="1" si="0"/>
        <v>0.61093771665390273</v>
      </c>
      <c r="R32" s="29">
        <v>29</v>
      </c>
      <c r="S32" s="29">
        <v>29</v>
      </c>
      <c r="T32" s="29">
        <v>29</v>
      </c>
      <c r="U32" s="29">
        <v>29</v>
      </c>
      <c r="V32" s="29">
        <v>29</v>
      </c>
      <c r="W32" s="32"/>
      <c r="X32" s="31"/>
      <c r="Z32" s="30">
        <v>29</v>
      </c>
      <c r="AA32" s="12" t="s">
        <v>8</v>
      </c>
    </row>
    <row r="33" spans="1:27" ht="20.149999999999999" customHeight="1" x14ac:dyDescent="0.35">
      <c r="A33" s="29"/>
      <c r="B33" s="12"/>
      <c r="H33" s="30">
        <v>30</v>
      </c>
      <c r="I33" s="12"/>
      <c r="J33" s="29">
        <v>30</v>
      </c>
      <c r="K33" s="29">
        <v>30</v>
      </c>
      <c r="L33" s="29">
        <v>30</v>
      </c>
      <c r="M33" s="29">
        <v>30</v>
      </c>
      <c r="N33" s="29">
        <v>30</v>
      </c>
      <c r="O33" s="12"/>
      <c r="Q33" s="30">
        <f t="shared" ca="1" si="0"/>
        <v>0.67216456378513056</v>
      </c>
      <c r="R33" s="31"/>
      <c r="S33" s="29">
        <v>30</v>
      </c>
      <c r="T33" s="29">
        <v>30</v>
      </c>
      <c r="U33" s="29">
        <v>30</v>
      </c>
      <c r="V33" s="29">
        <v>30</v>
      </c>
      <c r="W33" s="29">
        <v>30</v>
      </c>
      <c r="X33" s="31"/>
      <c r="Z33" s="30">
        <v>30</v>
      </c>
      <c r="AA33" s="12" t="s">
        <v>131</v>
      </c>
    </row>
    <row r="34" spans="1:27" ht="20.149999999999999" customHeight="1" x14ac:dyDescent="0.35">
      <c r="B34" s="11"/>
      <c r="H34" s="30">
        <v>31</v>
      </c>
      <c r="I34" s="29"/>
      <c r="J34" s="29">
        <v>31</v>
      </c>
      <c r="K34" s="29">
        <v>31</v>
      </c>
      <c r="L34" s="11"/>
      <c r="M34" s="11"/>
      <c r="N34" s="12"/>
      <c r="O34" s="12"/>
      <c r="Q34" s="30">
        <f t="shared" ca="1" si="0"/>
        <v>0.20882514986810263</v>
      </c>
      <c r="R34" s="33"/>
      <c r="S34" s="29">
        <v>31</v>
      </c>
      <c r="T34" s="29">
        <v>31</v>
      </c>
      <c r="U34" s="32"/>
      <c r="V34" s="32"/>
      <c r="W34" s="31"/>
      <c r="X34" s="31"/>
      <c r="Z34" s="30">
        <v>31</v>
      </c>
      <c r="AA34" s="12" t="s">
        <v>11</v>
      </c>
    </row>
    <row r="35" spans="1:27" ht="20.149999999999999" customHeight="1" x14ac:dyDescent="0.35">
      <c r="B35" s="40"/>
      <c r="H35" s="30">
        <v>32</v>
      </c>
      <c r="I35" s="12"/>
      <c r="J35" s="29">
        <v>32</v>
      </c>
      <c r="K35" s="29">
        <v>32</v>
      </c>
      <c r="L35" s="11"/>
      <c r="M35" s="11"/>
      <c r="N35" s="11"/>
      <c r="O35" s="12"/>
      <c r="Q35" s="30">
        <f t="shared" ca="1" si="0"/>
        <v>0.5291799444900912</v>
      </c>
      <c r="R35" s="31"/>
      <c r="S35" s="29">
        <v>32</v>
      </c>
      <c r="T35" s="29">
        <v>32</v>
      </c>
      <c r="U35" s="32"/>
      <c r="V35" s="32"/>
      <c r="W35" s="32"/>
      <c r="X35" s="31"/>
      <c r="Z35" s="30">
        <v>32</v>
      </c>
      <c r="AA35" s="12" t="s">
        <v>24</v>
      </c>
    </row>
    <row r="36" spans="1:27" ht="20.149999999999999" customHeight="1" x14ac:dyDescent="0.35">
      <c r="B36" s="12"/>
      <c r="H36" s="30">
        <v>33</v>
      </c>
      <c r="I36" s="29"/>
      <c r="J36" s="12">
        <v>33</v>
      </c>
      <c r="K36" s="12"/>
      <c r="L36" s="11"/>
      <c r="M36" s="11"/>
      <c r="N36" s="11"/>
      <c r="O36" s="12"/>
      <c r="Q36" s="30">
        <f t="shared" ca="1" si="0"/>
        <v>0.87362163985956631</v>
      </c>
      <c r="R36" s="33"/>
      <c r="S36" s="12">
        <v>33</v>
      </c>
      <c r="T36" s="31"/>
      <c r="U36" s="32"/>
      <c r="V36" s="32"/>
      <c r="W36" s="32"/>
      <c r="X36" s="31"/>
      <c r="Z36" s="30">
        <v>33</v>
      </c>
      <c r="AA36" s="12" t="s">
        <v>23</v>
      </c>
    </row>
    <row r="37" spans="1:27" x14ac:dyDescent="0.35">
      <c r="B37" s="29"/>
    </row>
    <row r="45" spans="1:27" ht="15" customHeight="1" x14ac:dyDescent="0.35"/>
  </sheetData>
  <mergeCells count="20">
    <mergeCell ref="W1:W3"/>
    <mergeCell ref="X1:X3"/>
    <mergeCell ref="O1:O3"/>
    <mergeCell ref="R1:R3"/>
    <mergeCell ref="S1:S3"/>
    <mergeCell ref="T1:T3"/>
    <mergeCell ref="U1:U3"/>
    <mergeCell ref="V1:V3"/>
    <mergeCell ref="N1:N3"/>
    <mergeCell ref="A1:A3"/>
    <mergeCell ref="B1:B3"/>
    <mergeCell ref="C1:C3"/>
    <mergeCell ref="D1:D3"/>
    <mergeCell ref="E1:E3"/>
    <mergeCell ref="F1:F3"/>
    <mergeCell ref="I1:I3"/>
    <mergeCell ref="J1:J3"/>
    <mergeCell ref="K1:K3"/>
    <mergeCell ref="L1:L3"/>
    <mergeCell ref="M1:M3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CEFA-8DB3-4784-955C-5A69521B2B35}">
  <dimension ref="A3:K23"/>
  <sheetViews>
    <sheetView showGridLines="0" zoomScale="90" zoomScaleNormal="90" workbookViewId="0">
      <selection activeCell="B5" sqref="B5"/>
    </sheetView>
  </sheetViews>
  <sheetFormatPr defaultRowHeight="14.5" x14ac:dyDescent="0.35"/>
  <cols>
    <col min="1" max="1" width="3" customWidth="1"/>
    <col min="3" max="3" width="18.54296875" customWidth="1"/>
    <col min="4" max="4" width="24.54296875" customWidth="1"/>
    <col min="5" max="6" width="18.54296875" customWidth="1"/>
    <col min="8" max="8" width="16.90625" customWidth="1"/>
    <col min="9" max="9" width="19" customWidth="1"/>
    <col min="10" max="10" width="17.6328125" customWidth="1"/>
    <col min="11" max="11" width="22.54296875" customWidth="1"/>
  </cols>
  <sheetData>
    <row r="3" spans="1:11" ht="36" customHeight="1" x14ac:dyDescent="0.35">
      <c r="B3" s="1" t="s">
        <v>0</v>
      </c>
      <c r="C3" s="1" t="s">
        <v>25</v>
      </c>
      <c r="D3" s="1" t="s">
        <v>28</v>
      </c>
      <c r="E3" s="6" t="s">
        <v>114</v>
      </c>
      <c r="F3" s="6" t="s">
        <v>29</v>
      </c>
    </row>
    <row r="4" spans="1:11" ht="36" hidden="1" customHeight="1" x14ac:dyDescent="0.35">
      <c r="B4" s="1"/>
      <c r="C4" s="1"/>
      <c r="D4" s="1"/>
      <c r="E4" s="6"/>
      <c r="F4" s="6"/>
    </row>
    <row r="5" spans="1:11" ht="39.9" customHeight="1" x14ac:dyDescent="0.35">
      <c r="A5" s="45"/>
      <c r="B5" s="16" t="s">
        <v>337</v>
      </c>
      <c r="C5" s="7" t="s">
        <v>193</v>
      </c>
      <c r="D5" s="8"/>
      <c r="E5" s="8"/>
      <c r="F5" s="7" t="s">
        <v>207</v>
      </c>
      <c r="J5" s="41"/>
      <c r="K5" s="42"/>
    </row>
    <row r="6" spans="1:11" ht="39.9" hidden="1" customHeight="1" x14ac:dyDescent="0.35">
      <c r="A6" s="45"/>
      <c r="B6" s="16"/>
      <c r="C6" s="7"/>
      <c r="D6" s="8"/>
      <c r="E6" s="8"/>
      <c r="F6" s="7"/>
      <c r="J6" s="41"/>
      <c r="K6" s="42"/>
    </row>
    <row r="7" spans="1:11" ht="39.9" customHeight="1" x14ac:dyDescent="0.35">
      <c r="A7" s="44"/>
      <c r="B7" s="17" t="s">
        <v>339</v>
      </c>
      <c r="C7" s="9" t="s">
        <v>194</v>
      </c>
      <c r="D7" s="9"/>
      <c r="E7" s="9"/>
      <c r="F7" s="10" t="s">
        <v>203</v>
      </c>
      <c r="J7" s="41"/>
      <c r="K7" s="42"/>
    </row>
    <row r="8" spans="1:11" ht="39.9" hidden="1" customHeight="1" x14ac:dyDescent="0.35">
      <c r="A8" s="44"/>
      <c r="B8" s="17"/>
      <c r="C8" s="9"/>
      <c r="D8" s="9"/>
      <c r="E8" s="9"/>
      <c r="F8" s="10"/>
      <c r="J8" s="41"/>
      <c r="K8" s="42"/>
    </row>
    <row r="9" spans="1:11" ht="39.9" customHeight="1" x14ac:dyDescent="0.35">
      <c r="A9" s="45"/>
      <c r="B9" s="16" t="s">
        <v>340</v>
      </c>
      <c r="C9" s="7" t="s">
        <v>195</v>
      </c>
      <c r="D9" s="8"/>
      <c r="E9" s="8"/>
      <c r="F9" s="7" t="s">
        <v>225</v>
      </c>
      <c r="J9" s="41"/>
      <c r="K9" s="42"/>
    </row>
    <row r="10" spans="1:11" ht="39.9" hidden="1" customHeight="1" x14ac:dyDescent="0.35">
      <c r="A10" s="45"/>
      <c r="B10" s="16"/>
      <c r="C10" s="7"/>
      <c r="D10" s="8"/>
      <c r="E10" s="8"/>
      <c r="F10" s="7"/>
      <c r="J10" s="41"/>
      <c r="K10" s="42"/>
    </row>
    <row r="11" spans="1:11" ht="39.9" customHeight="1" x14ac:dyDescent="0.35">
      <c r="A11" s="44"/>
      <c r="B11" s="17" t="s">
        <v>341</v>
      </c>
      <c r="C11" s="9" t="s">
        <v>141</v>
      </c>
      <c r="D11" s="9"/>
      <c r="E11" s="9"/>
      <c r="F11" s="10" t="s">
        <v>9</v>
      </c>
      <c r="J11" s="41"/>
      <c r="K11" s="42"/>
    </row>
    <row r="12" spans="1:11" ht="39.9" hidden="1" customHeight="1" x14ac:dyDescent="0.35">
      <c r="A12" s="44"/>
      <c r="B12" s="17"/>
      <c r="C12" s="9"/>
      <c r="D12" s="9"/>
      <c r="E12" s="9"/>
      <c r="F12" s="10"/>
      <c r="J12" s="41"/>
      <c r="K12" s="42"/>
    </row>
    <row r="13" spans="1:11" ht="39.9" customHeight="1" x14ac:dyDescent="0.35">
      <c r="A13" s="45"/>
      <c r="B13" s="47"/>
      <c r="C13" s="7"/>
      <c r="D13" s="8"/>
      <c r="E13" s="8"/>
      <c r="F13" s="7"/>
      <c r="J13" s="41"/>
      <c r="K13" s="42"/>
    </row>
    <row r="14" spans="1:11" ht="39.9" hidden="1" customHeight="1" x14ac:dyDescent="0.35">
      <c r="A14" s="45"/>
      <c r="B14" s="47"/>
      <c r="C14" s="7"/>
      <c r="D14" s="8"/>
      <c r="E14" s="8"/>
      <c r="F14" s="7"/>
      <c r="J14" s="41"/>
      <c r="K14" s="42"/>
    </row>
    <row r="15" spans="1:11" ht="39.9" customHeight="1" x14ac:dyDescent="0.35">
      <c r="A15" s="44"/>
      <c r="B15" s="17"/>
      <c r="C15" s="9"/>
      <c r="D15" s="9"/>
      <c r="E15" s="9"/>
      <c r="F15" s="10"/>
    </row>
    <row r="16" spans="1:11" ht="39.9" customHeight="1" x14ac:dyDescent="0.35">
      <c r="A16" s="45"/>
      <c r="B16" s="16"/>
      <c r="C16" s="7"/>
      <c r="D16" s="8"/>
      <c r="E16" s="8"/>
      <c r="F16" s="7"/>
    </row>
    <row r="17" spans="1:6" ht="39.9" customHeight="1" x14ac:dyDescent="0.35">
      <c r="A17" s="44"/>
      <c r="B17" s="17"/>
      <c r="C17" s="9"/>
      <c r="D17" s="9"/>
      <c r="E17" s="9"/>
      <c r="F17" s="10"/>
    </row>
    <row r="18" spans="1:6" ht="39.9" customHeight="1" x14ac:dyDescent="0.35">
      <c r="A18" s="45"/>
      <c r="B18" s="16"/>
      <c r="C18" s="7"/>
      <c r="D18" s="8"/>
      <c r="E18" s="8"/>
      <c r="F18" s="7"/>
    </row>
    <row r="19" spans="1:6" ht="39.9" customHeight="1" x14ac:dyDescent="0.35">
      <c r="A19" s="44"/>
      <c r="B19" s="17"/>
      <c r="C19" s="9"/>
      <c r="D19" s="9"/>
      <c r="E19" s="9"/>
      <c r="F19" s="10"/>
    </row>
    <row r="20" spans="1:6" ht="39.9" customHeight="1" x14ac:dyDescent="0.35">
      <c r="A20" s="45"/>
      <c r="B20" s="16"/>
      <c r="C20" s="7"/>
      <c r="D20" s="8"/>
      <c r="E20" s="8"/>
      <c r="F20" s="7"/>
    </row>
    <row r="21" spans="1:6" ht="39.9" customHeight="1" x14ac:dyDescent="0.35">
      <c r="B21" s="17"/>
      <c r="C21" s="9"/>
      <c r="D21" s="9"/>
      <c r="E21" s="9"/>
      <c r="F21" s="10"/>
    </row>
    <row r="22" spans="1:6" ht="39.9" customHeight="1" x14ac:dyDescent="0.35">
      <c r="B22" s="16"/>
      <c r="C22" s="7"/>
      <c r="D22" s="8"/>
      <c r="E22" s="8"/>
      <c r="F22" s="7"/>
    </row>
    <row r="23" spans="1:6" ht="39.9" customHeight="1" x14ac:dyDescent="0.35"/>
  </sheetData>
  <phoneticPr fontId="11" type="noConversion"/>
  <pageMargins left="0.511811024" right="0.511811024" top="0.78740157499999996" bottom="0.78740157499999996" header="0.31496062000000002" footer="0.31496062000000002"/>
  <pageSetup paperSize="9"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79C7A9E-014F-42FA-9387-C38188EFF702}">
          <x14:formula1>
            <xm:f>'Aprovados pelo corpo'!$E$4:$E$50</xm:f>
          </x14:formula1>
          <xm:sqref>F5:F22</xm:sqref>
        </x14:dataValidation>
        <x14:dataValidation type="list" allowBlank="1" showInputMessage="1" showErrorMessage="1" xr:uid="{5ADAD9EA-71DF-43FB-A89F-5CE1E6DAF9E5}">
          <x14:formula1>
            <xm:f>'Aprovados pelo corpo'!$F$4:$F$25</xm:f>
          </x14:formula1>
          <xm:sqref>C5:C22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76B8-F2ED-453B-9F59-6D7AF1E556E1}">
  <dimension ref="A1:H48"/>
  <sheetViews>
    <sheetView showGridLines="0" topLeftCell="A24" zoomScale="110" zoomScaleNormal="110" workbookViewId="0">
      <selection activeCell="D55" sqref="D55"/>
    </sheetView>
  </sheetViews>
  <sheetFormatPr defaultColWidth="9.08984375" defaultRowHeight="13" x14ac:dyDescent="0.3"/>
  <cols>
    <col min="1" max="1" width="3.36328125" style="18" customWidth="1"/>
    <col min="2" max="2" width="30.6328125" style="18" customWidth="1"/>
    <col min="3" max="3" width="3.36328125" style="18" customWidth="1"/>
    <col min="4" max="4" width="30.6328125" style="18" customWidth="1"/>
    <col min="5" max="5" width="3.36328125" style="18" customWidth="1"/>
    <col min="6" max="6" width="30.36328125" style="18" bestFit="1" customWidth="1"/>
    <col min="7" max="7" width="3.36328125" style="18" customWidth="1"/>
    <col min="8" max="8" width="32.90625" style="18" bestFit="1" customWidth="1"/>
    <col min="9" max="16384" width="9.08984375" style="18"/>
  </cols>
  <sheetData>
    <row r="1" spans="1:8" s="19" customFormat="1" ht="16.5" customHeight="1" x14ac:dyDescent="0.35">
      <c r="A1" s="182" t="s">
        <v>35</v>
      </c>
      <c r="B1" s="183"/>
      <c r="C1" s="188" t="s">
        <v>214</v>
      </c>
      <c r="D1" s="183"/>
      <c r="E1" s="186" t="s">
        <v>38</v>
      </c>
      <c r="F1" s="186"/>
      <c r="G1" s="172" t="s">
        <v>360</v>
      </c>
      <c r="H1" s="178"/>
    </row>
    <row r="2" spans="1:8" s="20" customFormat="1" ht="16.5" customHeight="1" x14ac:dyDescent="0.35">
      <c r="A2" s="184" t="s">
        <v>36</v>
      </c>
      <c r="B2" s="185"/>
      <c r="C2" s="189" t="s">
        <v>37</v>
      </c>
      <c r="D2" s="185"/>
      <c r="E2" s="187" t="s">
        <v>39</v>
      </c>
      <c r="F2" s="187"/>
      <c r="G2" s="180" t="s">
        <v>41</v>
      </c>
      <c r="H2" s="181"/>
    </row>
    <row r="3" spans="1:8" ht="16.5" customHeight="1" x14ac:dyDescent="0.3">
      <c r="A3" s="161" t="s">
        <v>345</v>
      </c>
      <c r="B3" s="162"/>
      <c r="C3" s="161" t="s">
        <v>352</v>
      </c>
      <c r="D3" s="167"/>
      <c r="E3" s="161" t="s">
        <v>346</v>
      </c>
      <c r="F3" s="162"/>
      <c r="G3" s="161" t="s">
        <v>347</v>
      </c>
      <c r="H3" s="162"/>
    </row>
    <row r="4" spans="1:8" ht="16.5" customHeight="1" x14ac:dyDescent="0.3">
      <c r="A4" s="163"/>
      <c r="B4" s="164"/>
      <c r="C4" s="168"/>
      <c r="D4" s="169"/>
      <c r="E4" s="163"/>
      <c r="F4" s="164"/>
      <c r="G4" s="163"/>
      <c r="H4" s="164"/>
    </row>
    <row r="5" spans="1:8" ht="16.5" customHeight="1" x14ac:dyDescent="0.3">
      <c r="A5" s="165"/>
      <c r="B5" s="166"/>
      <c r="C5" s="170"/>
      <c r="D5" s="171"/>
      <c r="E5" s="165"/>
      <c r="F5" s="166"/>
      <c r="G5" s="165"/>
      <c r="H5" s="166"/>
    </row>
    <row r="6" spans="1:8" ht="16.5" customHeight="1" x14ac:dyDescent="0.3">
      <c r="A6" s="22">
        <v>1</v>
      </c>
      <c r="B6" s="23" t="s">
        <v>46</v>
      </c>
      <c r="C6" s="22">
        <v>1</v>
      </c>
      <c r="D6" s="23" t="s">
        <v>54</v>
      </c>
      <c r="E6" s="22">
        <v>1</v>
      </c>
      <c r="F6" s="23" t="s">
        <v>64</v>
      </c>
      <c r="G6" s="22">
        <v>1</v>
      </c>
      <c r="H6" s="23" t="s">
        <v>236</v>
      </c>
    </row>
    <row r="7" spans="1:8" ht="16.5" customHeight="1" x14ac:dyDescent="0.3">
      <c r="A7" s="22">
        <v>2</v>
      </c>
      <c r="B7" s="23" t="s">
        <v>237</v>
      </c>
      <c r="C7" s="22">
        <v>2</v>
      </c>
      <c r="D7" s="24" t="s">
        <v>79</v>
      </c>
      <c r="E7" s="22">
        <v>2</v>
      </c>
      <c r="F7" s="23" t="s">
        <v>239</v>
      </c>
      <c r="G7" s="22">
        <v>2</v>
      </c>
      <c r="H7" s="24" t="s">
        <v>67</v>
      </c>
    </row>
    <row r="8" spans="1:8" ht="16.5" customHeight="1" x14ac:dyDescent="0.3">
      <c r="A8" s="22">
        <v>3</v>
      </c>
      <c r="B8" s="23" t="s">
        <v>47</v>
      </c>
      <c r="C8" s="22">
        <v>3</v>
      </c>
      <c r="D8" s="23" t="s">
        <v>238</v>
      </c>
      <c r="E8" s="22">
        <v>3</v>
      </c>
      <c r="F8" s="23" t="s">
        <v>65</v>
      </c>
      <c r="G8" s="22">
        <v>3</v>
      </c>
      <c r="H8" s="23" t="s">
        <v>343</v>
      </c>
    </row>
    <row r="9" spans="1:8" ht="16.5" customHeight="1" x14ac:dyDescent="0.3">
      <c r="A9" s="22">
        <v>4</v>
      </c>
      <c r="B9" s="24" t="s">
        <v>241</v>
      </c>
      <c r="C9" s="22">
        <v>4</v>
      </c>
      <c r="D9" s="23" t="s">
        <v>56</v>
      </c>
      <c r="E9" s="22">
        <v>4</v>
      </c>
      <c r="F9" s="23" t="s">
        <v>80</v>
      </c>
      <c r="G9" s="22">
        <v>4</v>
      </c>
      <c r="H9" s="24" t="s">
        <v>242</v>
      </c>
    </row>
    <row r="10" spans="1:8" ht="16.5" customHeight="1" x14ac:dyDescent="0.3">
      <c r="A10" s="22">
        <v>5</v>
      </c>
      <c r="B10" s="23" t="s">
        <v>243</v>
      </c>
      <c r="C10" s="22">
        <v>5</v>
      </c>
      <c r="D10" s="23" t="s">
        <v>313</v>
      </c>
      <c r="E10" s="22">
        <v>5</v>
      </c>
      <c r="F10" s="23" t="s">
        <v>68</v>
      </c>
      <c r="G10" s="22">
        <v>5</v>
      </c>
      <c r="H10" s="23" t="s">
        <v>70</v>
      </c>
    </row>
    <row r="11" spans="1:8" ht="16.5" customHeight="1" x14ac:dyDescent="0.3">
      <c r="A11" s="22">
        <v>6</v>
      </c>
      <c r="B11" s="24" t="s">
        <v>48</v>
      </c>
      <c r="C11" s="22">
        <v>6</v>
      </c>
      <c r="D11" s="23" t="s">
        <v>57</v>
      </c>
      <c r="E11" s="22">
        <v>6</v>
      </c>
      <c r="F11" s="23" t="s">
        <v>69</v>
      </c>
      <c r="G11" s="22">
        <v>6</v>
      </c>
      <c r="H11" s="23" t="s">
        <v>244</v>
      </c>
    </row>
    <row r="12" spans="1:8" ht="16.5" customHeight="1" x14ac:dyDescent="0.3">
      <c r="A12" s="22">
        <v>7</v>
      </c>
      <c r="B12" s="23" t="s">
        <v>245</v>
      </c>
      <c r="C12" s="22">
        <v>7</v>
      </c>
      <c r="D12" s="23" t="s">
        <v>58</v>
      </c>
      <c r="E12" s="22">
        <v>7</v>
      </c>
      <c r="F12" s="23" t="s">
        <v>247</v>
      </c>
      <c r="G12" s="22">
        <v>7</v>
      </c>
      <c r="H12" s="23" t="s">
        <v>246</v>
      </c>
    </row>
    <row r="13" spans="1:8" ht="16.5" customHeight="1" x14ac:dyDescent="0.3">
      <c r="A13" s="22">
        <v>8</v>
      </c>
      <c r="B13" s="23" t="s">
        <v>49</v>
      </c>
      <c r="C13" s="22">
        <v>8</v>
      </c>
      <c r="D13" s="23" t="s">
        <v>60</v>
      </c>
      <c r="E13" s="22">
        <v>8</v>
      </c>
      <c r="F13" s="23" t="s">
        <v>82</v>
      </c>
      <c r="G13" s="22">
        <v>8</v>
      </c>
      <c r="H13" s="23" t="s">
        <v>83</v>
      </c>
    </row>
    <row r="14" spans="1:8" ht="16.5" customHeight="1" x14ac:dyDescent="0.3">
      <c r="A14" s="22">
        <v>9</v>
      </c>
      <c r="B14" s="23" t="s">
        <v>248</v>
      </c>
      <c r="C14" s="22">
        <v>9</v>
      </c>
      <c r="D14" s="23" t="s">
        <v>293</v>
      </c>
      <c r="E14" s="22">
        <v>9</v>
      </c>
      <c r="F14" s="24" t="s">
        <v>350</v>
      </c>
      <c r="G14" s="22">
        <v>9</v>
      </c>
      <c r="H14" s="23" t="s">
        <v>84</v>
      </c>
    </row>
    <row r="15" spans="1:8" ht="16.5" customHeight="1" x14ac:dyDescent="0.3">
      <c r="A15" s="22">
        <v>10</v>
      </c>
      <c r="B15" s="24" t="s">
        <v>50</v>
      </c>
      <c r="C15" s="22">
        <v>10</v>
      </c>
      <c r="D15" s="24" t="s">
        <v>61</v>
      </c>
      <c r="E15" s="22">
        <v>10</v>
      </c>
      <c r="F15" s="23" t="s">
        <v>250</v>
      </c>
      <c r="G15" s="22">
        <v>10</v>
      </c>
      <c r="H15" s="23" t="s">
        <v>85</v>
      </c>
    </row>
    <row r="16" spans="1:8" ht="16.5" customHeight="1" x14ac:dyDescent="0.3">
      <c r="A16" s="22">
        <v>11</v>
      </c>
      <c r="B16" s="23" t="s">
        <v>251</v>
      </c>
      <c r="C16" s="22">
        <v>11</v>
      </c>
      <c r="D16" s="23" t="s">
        <v>62</v>
      </c>
      <c r="E16" s="22">
        <v>11</v>
      </c>
      <c r="F16" s="23" t="s">
        <v>73</v>
      </c>
      <c r="G16" s="22">
        <v>11</v>
      </c>
      <c r="H16" s="23" t="s">
        <v>102</v>
      </c>
    </row>
    <row r="17" spans="1:8" ht="16.5" customHeight="1" x14ac:dyDescent="0.3">
      <c r="A17" s="22">
        <v>12</v>
      </c>
      <c r="B17" s="23" t="s">
        <v>254</v>
      </c>
      <c r="C17" s="22">
        <v>12</v>
      </c>
      <c r="D17" s="23" t="s">
        <v>249</v>
      </c>
      <c r="E17" s="22">
        <v>12</v>
      </c>
      <c r="F17" s="23" t="s">
        <v>379</v>
      </c>
      <c r="G17" s="22">
        <v>12</v>
      </c>
      <c r="H17" s="23" t="s">
        <v>253</v>
      </c>
    </row>
    <row r="18" spans="1:8" ht="16.5" customHeight="1" x14ac:dyDescent="0.3">
      <c r="A18" s="22">
        <v>13</v>
      </c>
      <c r="B18" s="23" t="s">
        <v>256</v>
      </c>
      <c r="C18" s="22">
        <v>13</v>
      </c>
      <c r="D18" s="24" t="s">
        <v>252</v>
      </c>
      <c r="E18" s="22">
        <v>13</v>
      </c>
      <c r="F18" s="23" t="s">
        <v>74</v>
      </c>
      <c r="G18" s="22">
        <v>13</v>
      </c>
      <c r="H18" s="23" t="s">
        <v>86</v>
      </c>
    </row>
    <row r="19" spans="1:8" ht="16.5" customHeight="1" x14ac:dyDescent="0.3">
      <c r="A19" s="22">
        <v>14</v>
      </c>
      <c r="B19" s="23" t="s">
        <v>72</v>
      </c>
      <c r="C19" s="22">
        <v>14</v>
      </c>
      <c r="D19" s="23" t="s">
        <v>255</v>
      </c>
      <c r="E19" s="22">
        <v>14</v>
      </c>
      <c r="F19" s="23" t="s">
        <v>87</v>
      </c>
      <c r="G19" s="22">
        <v>14</v>
      </c>
      <c r="H19" s="24" t="s">
        <v>258</v>
      </c>
    </row>
    <row r="20" spans="1:8" ht="16.5" customHeight="1" x14ac:dyDescent="0.3">
      <c r="A20" s="22">
        <v>15</v>
      </c>
      <c r="B20" s="23" t="s">
        <v>51</v>
      </c>
      <c r="C20" s="22">
        <v>15</v>
      </c>
      <c r="D20" s="24" t="s">
        <v>257</v>
      </c>
      <c r="E20" s="22">
        <v>15</v>
      </c>
      <c r="F20" s="24" t="s">
        <v>264</v>
      </c>
      <c r="G20" s="22">
        <v>15</v>
      </c>
      <c r="H20" s="23" t="s">
        <v>344</v>
      </c>
    </row>
    <row r="21" spans="1:8" ht="16.5" customHeight="1" x14ac:dyDescent="0.3">
      <c r="A21" s="22">
        <v>16</v>
      </c>
      <c r="B21" s="23" t="s">
        <v>377</v>
      </c>
      <c r="C21" s="22">
        <v>16</v>
      </c>
      <c r="D21" s="23"/>
      <c r="E21" s="22">
        <v>16</v>
      </c>
      <c r="F21" s="23" t="s">
        <v>76</v>
      </c>
      <c r="G21" s="22">
        <v>16</v>
      </c>
      <c r="H21" s="23" t="s">
        <v>260</v>
      </c>
    </row>
    <row r="22" spans="1:8" ht="16.5" customHeight="1" x14ac:dyDescent="0.3">
      <c r="A22" s="22">
        <v>17</v>
      </c>
      <c r="B22" s="23" t="s">
        <v>263</v>
      </c>
      <c r="C22" s="22">
        <v>17</v>
      </c>
      <c r="D22" s="23"/>
      <c r="E22" s="22">
        <v>17</v>
      </c>
      <c r="F22" s="23" t="s">
        <v>351</v>
      </c>
      <c r="G22" s="22">
        <v>17</v>
      </c>
      <c r="H22" s="23" t="s">
        <v>262</v>
      </c>
    </row>
    <row r="23" spans="1:8" ht="16.5" customHeight="1" x14ac:dyDescent="0.3">
      <c r="A23" s="22">
        <v>18</v>
      </c>
      <c r="B23" s="23" t="s">
        <v>52</v>
      </c>
      <c r="C23" s="22">
        <v>18</v>
      </c>
      <c r="D23" s="23"/>
      <c r="E23" s="22">
        <v>18</v>
      </c>
      <c r="F23" s="24" t="s">
        <v>78</v>
      </c>
      <c r="G23" s="22">
        <v>18</v>
      </c>
      <c r="H23" s="23" t="s">
        <v>88</v>
      </c>
    </row>
    <row r="24" spans="1:8" ht="16.5" customHeight="1" x14ac:dyDescent="0.3">
      <c r="A24" s="22">
        <v>19</v>
      </c>
      <c r="B24" s="23" t="s">
        <v>53</v>
      </c>
      <c r="C24" s="22">
        <v>19</v>
      </c>
      <c r="D24" s="23"/>
      <c r="E24" s="22">
        <v>19</v>
      </c>
      <c r="F24" s="23"/>
      <c r="G24" s="22">
        <v>19</v>
      </c>
      <c r="H24" s="23" t="s">
        <v>265</v>
      </c>
    </row>
    <row r="25" spans="1:8" ht="16.5" customHeight="1" x14ac:dyDescent="0.3">
      <c r="A25" s="22">
        <v>20</v>
      </c>
      <c r="B25" s="23" t="s">
        <v>267</v>
      </c>
      <c r="C25" s="22">
        <v>20</v>
      </c>
      <c r="D25" s="23"/>
      <c r="E25" s="22">
        <v>20</v>
      </c>
      <c r="F25" s="24"/>
      <c r="G25" s="22">
        <v>20</v>
      </c>
      <c r="H25" s="23" t="s">
        <v>266</v>
      </c>
    </row>
    <row r="26" spans="1:8" ht="16.5" customHeight="1" x14ac:dyDescent="0.3">
      <c r="A26" s="22">
        <v>21</v>
      </c>
      <c r="B26" s="23"/>
      <c r="C26" s="22">
        <v>21</v>
      </c>
      <c r="D26" s="23"/>
      <c r="E26" s="22">
        <v>21</v>
      </c>
      <c r="F26" s="23"/>
      <c r="G26" s="22">
        <v>21</v>
      </c>
      <c r="H26" s="23" t="s">
        <v>77</v>
      </c>
    </row>
    <row r="27" spans="1:8" ht="16.5" customHeight="1" x14ac:dyDescent="0.3">
      <c r="A27" s="52">
        <v>22</v>
      </c>
      <c r="B27" s="23"/>
      <c r="C27" s="22">
        <v>22</v>
      </c>
      <c r="D27" s="23"/>
      <c r="E27" s="22">
        <v>22</v>
      </c>
      <c r="F27" s="23"/>
      <c r="G27" s="22">
        <v>22</v>
      </c>
      <c r="H27" s="23" t="s">
        <v>361</v>
      </c>
    </row>
    <row r="28" spans="1:8" ht="16.5" customHeight="1" x14ac:dyDescent="0.35">
      <c r="A28" s="178" t="s">
        <v>42</v>
      </c>
      <c r="B28" s="179"/>
      <c r="C28" s="172" t="s">
        <v>44</v>
      </c>
      <c r="D28" s="172"/>
      <c r="E28" s="172" t="s">
        <v>268</v>
      </c>
      <c r="F28" s="172"/>
      <c r="G28" s="172" t="s">
        <v>269</v>
      </c>
      <c r="H28" s="173"/>
    </row>
    <row r="29" spans="1:8" ht="16.5" customHeight="1" x14ac:dyDescent="0.3">
      <c r="A29" s="174" t="s">
        <v>43</v>
      </c>
      <c r="B29" s="175"/>
      <c r="C29" s="176" t="s">
        <v>45</v>
      </c>
      <c r="D29" s="176"/>
      <c r="E29" s="176" t="s">
        <v>270</v>
      </c>
      <c r="F29" s="176"/>
      <c r="G29" s="176" t="s">
        <v>271</v>
      </c>
      <c r="H29" s="177"/>
    </row>
    <row r="30" spans="1:8" ht="16.5" customHeight="1" x14ac:dyDescent="0.3">
      <c r="A30" s="161" t="s">
        <v>348</v>
      </c>
      <c r="B30" s="162"/>
      <c r="C30" s="161" t="s">
        <v>349</v>
      </c>
      <c r="D30" s="162"/>
      <c r="E30" s="161" t="s">
        <v>354</v>
      </c>
      <c r="F30" s="162"/>
      <c r="G30" s="161" t="s">
        <v>353</v>
      </c>
      <c r="H30" s="162"/>
    </row>
    <row r="31" spans="1:8" s="25" customFormat="1" ht="16.5" customHeight="1" x14ac:dyDescent="0.35">
      <c r="A31" s="163"/>
      <c r="B31" s="164"/>
      <c r="C31" s="163"/>
      <c r="D31" s="164"/>
      <c r="E31" s="163"/>
      <c r="F31" s="164"/>
      <c r="G31" s="163"/>
      <c r="H31" s="164"/>
    </row>
    <row r="32" spans="1:8" s="21" customFormat="1" ht="16.5" customHeight="1" x14ac:dyDescent="0.35">
      <c r="A32" s="165"/>
      <c r="B32" s="166"/>
      <c r="C32" s="165"/>
      <c r="D32" s="166"/>
      <c r="E32" s="165"/>
      <c r="F32" s="166"/>
      <c r="G32" s="165"/>
      <c r="H32" s="166"/>
    </row>
    <row r="33" spans="1:8" ht="16.5" customHeight="1" x14ac:dyDescent="0.3">
      <c r="A33" s="22">
        <v>1</v>
      </c>
      <c r="B33" s="23" t="s">
        <v>276</v>
      </c>
      <c r="C33" s="22">
        <v>1</v>
      </c>
      <c r="D33" s="24" t="s">
        <v>95</v>
      </c>
      <c r="E33" s="22">
        <v>1</v>
      </c>
      <c r="F33" s="49" t="s">
        <v>358</v>
      </c>
      <c r="G33" s="22">
        <v>1</v>
      </c>
      <c r="H33" s="23" t="s">
        <v>277</v>
      </c>
    </row>
    <row r="34" spans="1:8" ht="16.5" customHeight="1" x14ac:dyDescent="0.3">
      <c r="A34" s="22">
        <v>2</v>
      </c>
      <c r="B34" s="23" t="s">
        <v>278</v>
      </c>
      <c r="C34" s="22">
        <v>2</v>
      </c>
      <c r="D34" s="24" t="s">
        <v>279</v>
      </c>
      <c r="E34" s="22">
        <v>2</v>
      </c>
      <c r="F34" s="23" t="s">
        <v>283</v>
      </c>
      <c r="G34" s="22">
        <v>2</v>
      </c>
      <c r="H34" s="23" t="s">
        <v>281</v>
      </c>
    </row>
    <row r="35" spans="1:8" ht="16.5" customHeight="1" x14ac:dyDescent="0.3">
      <c r="A35" s="22">
        <v>3</v>
      </c>
      <c r="B35" s="23" t="s">
        <v>90</v>
      </c>
      <c r="C35" s="22">
        <v>3</v>
      </c>
      <c r="D35" s="23" t="s">
        <v>356</v>
      </c>
      <c r="E35" s="22">
        <v>3</v>
      </c>
      <c r="F35" s="23" t="s">
        <v>284</v>
      </c>
      <c r="G35" s="22">
        <v>3</v>
      </c>
      <c r="H35" s="23" t="s">
        <v>240</v>
      </c>
    </row>
    <row r="36" spans="1:8" ht="16.5" customHeight="1" x14ac:dyDescent="0.3">
      <c r="A36" s="22">
        <v>4</v>
      </c>
      <c r="B36" s="23" t="s">
        <v>286</v>
      </c>
      <c r="C36" s="22">
        <v>4</v>
      </c>
      <c r="D36" s="23" t="s">
        <v>98</v>
      </c>
      <c r="E36" s="22">
        <v>4</v>
      </c>
      <c r="F36" s="23" t="s">
        <v>91</v>
      </c>
      <c r="G36" s="22">
        <v>4</v>
      </c>
      <c r="H36" s="24" t="s">
        <v>66</v>
      </c>
    </row>
    <row r="37" spans="1:8" ht="16.5" customHeight="1" x14ac:dyDescent="0.3">
      <c r="A37" s="22">
        <v>5</v>
      </c>
      <c r="B37" s="23" t="s">
        <v>92</v>
      </c>
      <c r="C37" s="22">
        <v>5</v>
      </c>
      <c r="D37" s="23" t="s">
        <v>285</v>
      </c>
      <c r="E37" s="22">
        <v>5</v>
      </c>
      <c r="F37" s="23" t="s">
        <v>321</v>
      </c>
      <c r="G37" s="22">
        <v>5</v>
      </c>
      <c r="H37" s="23" t="s">
        <v>55</v>
      </c>
    </row>
    <row r="38" spans="1:8" ht="16.5" customHeight="1" x14ac:dyDescent="0.3">
      <c r="A38" s="22">
        <v>6</v>
      </c>
      <c r="B38" s="23" t="s">
        <v>93</v>
      </c>
      <c r="C38" s="22">
        <v>6</v>
      </c>
      <c r="D38" s="24" t="s">
        <v>287</v>
      </c>
      <c r="E38" s="22">
        <v>6</v>
      </c>
      <c r="F38" s="23" t="s">
        <v>355</v>
      </c>
      <c r="G38" s="22">
        <v>6</v>
      </c>
      <c r="H38" s="23" t="s">
        <v>96</v>
      </c>
    </row>
    <row r="39" spans="1:8" ht="16.5" customHeight="1" x14ac:dyDescent="0.3">
      <c r="A39" s="22">
        <v>7</v>
      </c>
      <c r="B39" s="24" t="s">
        <v>292</v>
      </c>
      <c r="C39" s="22">
        <v>7</v>
      </c>
      <c r="D39" s="23" t="s">
        <v>288</v>
      </c>
      <c r="E39" s="22">
        <v>7</v>
      </c>
      <c r="F39" s="23" t="s">
        <v>289</v>
      </c>
      <c r="G39" s="22">
        <v>7</v>
      </c>
      <c r="H39" s="23" t="s">
        <v>71</v>
      </c>
    </row>
    <row r="40" spans="1:8" ht="16.5" customHeight="1" x14ac:dyDescent="0.3">
      <c r="A40" s="22">
        <v>8</v>
      </c>
      <c r="B40" s="23" t="s">
        <v>295</v>
      </c>
      <c r="C40" s="22">
        <v>8</v>
      </c>
      <c r="D40" s="23" t="s">
        <v>291</v>
      </c>
      <c r="E40" s="22">
        <v>8</v>
      </c>
      <c r="F40" s="24" t="s">
        <v>59</v>
      </c>
      <c r="G40" s="22">
        <v>8</v>
      </c>
      <c r="H40" s="23" t="s">
        <v>97</v>
      </c>
    </row>
    <row r="41" spans="1:8" ht="16.5" customHeight="1" x14ac:dyDescent="0.3">
      <c r="A41" s="22">
        <v>9</v>
      </c>
      <c r="B41" s="24" t="s">
        <v>297</v>
      </c>
      <c r="C41" s="22">
        <v>9</v>
      </c>
      <c r="D41" s="23" t="s">
        <v>99</v>
      </c>
      <c r="E41" s="22">
        <v>9</v>
      </c>
      <c r="F41" s="24" t="s">
        <v>290</v>
      </c>
      <c r="G41" s="22">
        <v>9</v>
      </c>
      <c r="H41" s="23" t="s">
        <v>296</v>
      </c>
    </row>
    <row r="42" spans="1:8" ht="16.5" customHeight="1" x14ac:dyDescent="0.3">
      <c r="A42" s="22">
        <v>10</v>
      </c>
      <c r="B42" s="23" t="s">
        <v>94</v>
      </c>
      <c r="C42" s="22">
        <v>10</v>
      </c>
      <c r="D42" s="23" t="s">
        <v>298</v>
      </c>
      <c r="E42" s="22">
        <v>10</v>
      </c>
      <c r="F42" s="23" t="s">
        <v>294</v>
      </c>
      <c r="G42" s="22">
        <v>10</v>
      </c>
      <c r="H42" s="23" t="s">
        <v>378</v>
      </c>
    </row>
    <row r="43" spans="1:8" ht="16.5" customHeight="1" x14ac:dyDescent="0.3">
      <c r="A43" s="22">
        <v>11</v>
      </c>
      <c r="B43" s="23" t="s">
        <v>302</v>
      </c>
      <c r="C43" s="22">
        <v>11</v>
      </c>
      <c r="D43" s="23" t="s">
        <v>100</v>
      </c>
      <c r="E43" s="22">
        <v>11</v>
      </c>
      <c r="F43" s="23" t="s">
        <v>63</v>
      </c>
      <c r="G43" s="22">
        <v>11</v>
      </c>
      <c r="H43" s="23" t="s">
        <v>101</v>
      </c>
    </row>
    <row r="44" spans="1:8" ht="16.5" customHeight="1" x14ac:dyDescent="0.3">
      <c r="A44" s="22">
        <v>12</v>
      </c>
      <c r="B44" s="24" t="s">
        <v>304</v>
      </c>
      <c r="C44" s="22">
        <v>12</v>
      </c>
      <c r="D44" s="23" t="s">
        <v>301</v>
      </c>
      <c r="E44" s="22">
        <v>12</v>
      </c>
      <c r="F44" s="23" t="s">
        <v>310</v>
      </c>
      <c r="G44" s="22">
        <v>12</v>
      </c>
      <c r="H44" s="24" t="s">
        <v>300</v>
      </c>
    </row>
    <row r="45" spans="1:8" ht="16.5" customHeight="1" x14ac:dyDescent="0.3">
      <c r="A45" s="22">
        <v>13</v>
      </c>
      <c r="B45" s="23"/>
      <c r="C45" s="22">
        <v>13</v>
      </c>
      <c r="D45" s="23" t="s">
        <v>357</v>
      </c>
      <c r="E45" s="22">
        <v>13</v>
      </c>
      <c r="F45" s="23" t="s">
        <v>299</v>
      </c>
      <c r="G45" s="22">
        <v>13</v>
      </c>
      <c r="H45" s="23"/>
    </row>
    <row r="46" spans="1:8" ht="16.5" customHeight="1" x14ac:dyDescent="0.3">
      <c r="A46" s="22">
        <v>14</v>
      </c>
      <c r="B46" s="23"/>
      <c r="C46" s="22">
        <v>14</v>
      </c>
      <c r="D46" s="23"/>
      <c r="E46" s="22">
        <v>14</v>
      </c>
      <c r="F46" s="23" t="s">
        <v>342</v>
      </c>
      <c r="G46" s="22">
        <v>14</v>
      </c>
      <c r="H46" s="23"/>
    </row>
    <row r="47" spans="1:8" ht="16.5" customHeight="1" x14ac:dyDescent="0.3">
      <c r="A47" s="22">
        <v>15</v>
      </c>
      <c r="B47" s="23"/>
      <c r="C47" s="22">
        <v>15</v>
      </c>
      <c r="D47" s="23"/>
      <c r="E47" s="22">
        <v>15</v>
      </c>
      <c r="F47" s="23" t="s">
        <v>322</v>
      </c>
      <c r="G47" s="22">
        <v>15</v>
      </c>
      <c r="H47" s="23"/>
    </row>
    <row r="48" spans="1:8" ht="16.5" customHeight="1" x14ac:dyDescent="0.3">
      <c r="A48" s="22">
        <v>16</v>
      </c>
      <c r="B48" s="23"/>
      <c r="C48" s="22">
        <v>16</v>
      </c>
      <c r="D48" s="23"/>
      <c r="E48" s="22">
        <v>16</v>
      </c>
      <c r="F48" s="23" t="s">
        <v>323</v>
      </c>
      <c r="G48" s="22">
        <v>16</v>
      </c>
      <c r="H48" s="23"/>
    </row>
  </sheetData>
  <sortState xmlns:xlrd2="http://schemas.microsoft.com/office/spreadsheetml/2017/richdata2" ref="F24:F25">
    <sortCondition ref="F23:F25"/>
  </sortState>
  <mergeCells count="24">
    <mergeCell ref="G1:H1"/>
    <mergeCell ref="G2:H2"/>
    <mergeCell ref="A1:B1"/>
    <mergeCell ref="A2:B2"/>
    <mergeCell ref="E1:F1"/>
    <mergeCell ref="E2:F2"/>
    <mergeCell ref="C1:D1"/>
    <mergeCell ref="C2:D2"/>
    <mergeCell ref="A3:B5"/>
    <mergeCell ref="C3:D5"/>
    <mergeCell ref="E3:F5"/>
    <mergeCell ref="G3:H5"/>
    <mergeCell ref="A30:B32"/>
    <mergeCell ref="C30:D32"/>
    <mergeCell ref="E30:F32"/>
    <mergeCell ref="G30:H32"/>
    <mergeCell ref="G28:H28"/>
    <mergeCell ref="A29:B29"/>
    <mergeCell ref="C29:D29"/>
    <mergeCell ref="E29:F29"/>
    <mergeCell ref="G29:H29"/>
    <mergeCell ref="A28:B28"/>
    <mergeCell ref="C28:D28"/>
    <mergeCell ref="E28:F28"/>
  </mergeCells>
  <pageMargins left="0.25" right="0.25" top="0.75" bottom="0.75" header="0.3" footer="0.3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30FF-D7C6-47B6-B759-0B66D40EDB03}">
  <dimension ref="B2:J42"/>
  <sheetViews>
    <sheetView showGridLines="0" workbookViewId="0">
      <selection activeCell="C19" sqref="C19:C22"/>
    </sheetView>
  </sheetViews>
  <sheetFormatPr defaultRowHeight="14.5" x14ac:dyDescent="0.35"/>
  <cols>
    <col min="2" max="2" width="17" customWidth="1"/>
    <col min="3" max="3" width="73.90625" customWidth="1"/>
    <col min="4" max="4" width="9.08984375" style="65"/>
    <col min="5" max="5" width="8.54296875" bestFit="1" customWidth="1"/>
    <col min="6" max="10" width="9.08984375" style="65"/>
  </cols>
  <sheetData>
    <row r="2" spans="2:3" ht="21" customHeight="1" x14ac:dyDescent="0.35">
      <c r="B2" s="1" t="s">
        <v>104</v>
      </c>
      <c r="C2" s="1" t="s">
        <v>311</v>
      </c>
    </row>
    <row r="3" spans="2:3" ht="18" hidden="1" customHeight="1" x14ac:dyDescent="0.35">
      <c r="B3" s="4" t="s">
        <v>110</v>
      </c>
      <c r="C3" s="13" t="s">
        <v>108</v>
      </c>
    </row>
    <row r="4" spans="2:3" ht="18" hidden="1" customHeight="1" x14ac:dyDescent="0.35">
      <c r="B4" s="5" t="s">
        <v>111</v>
      </c>
      <c r="C4" s="14" t="s">
        <v>109</v>
      </c>
    </row>
    <row r="5" spans="2:3" ht="18" hidden="1" customHeight="1" x14ac:dyDescent="0.35">
      <c r="B5" s="4" t="s">
        <v>112</v>
      </c>
      <c r="C5" s="13" t="s">
        <v>105</v>
      </c>
    </row>
    <row r="6" spans="2:3" ht="18" hidden="1" customHeight="1" x14ac:dyDescent="0.35">
      <c r="B6" s="5" t="s">
        <v>113</v>
      </c>
      <c r="C6" s="15" t="s">
        <v>106</v>
      </c>
    </row>
    <row r="7" spans="2:3" ht="18" hidden="1" customHeight="1" x14ac:dyDescent="0.35">
      <c r="B7" s="4" t="s">
        <v>215</v>
      </c>
      <c r="C7" s="13" t="s">
        <v>107</v>
      </c>
    </row>
    <row r="8" spans="2:3" ht="18" hidden="1" customHeight="1" x14ac:dyDescent="0.35">
      <c r="B8" s="38"/>
      <c r="C8" s="39"/>
    </row>
    <row r="9" spans="2:3" ht="18" hidden="1" customHeight="1" x14ac:dyDescent="0.35">
      <c r="B9" s="5" t="s">
        <v>216</v>
      </c>
      <c r="C9" s="15" t="s">
        <v>221</v>
      </c>
    </row>
    <row r="10" spans="2:3" ht="18" hidden="1" customHeight="1" x14ac:dyDescent="0.35">
      <c r="B10" s="4" t="s">
        <v>217</v>
      </c>
      <c r="C10" s="13" t="s">
        <v>222</v>
      </c>
    </row>
    <row r="11" spans="2:3" ht="18" hidden="1" customHeight="1" x14ac:dyDescent="0.35">
      <c r="B11" s="5" t="s">
        <v>218</v>
      </c>
      <c r="C11" s="14" t="s">
        <v>223</v>
      </c>
    </row>
    <row r="12" spans="2:3" ht="18" hidden="1" customHeight="1" x14ac:dyDescent="0.35">
      <c r="B12" s="4" t="s">
        <v>219</v>
      </c>
      <c r="C12" s="13" t="s">
        <v>224</v>
      </c>
    </row>
    <row r="13" spans="2:3" ht="18" hidden="1" customHeight="1" x14ac:dyDescent="0.35">
      <c r="B13" s="38"/>
      <c r="C13" s="39"/>
    </row>
    <row r="14" spans="2:3" ht="18" hidden="1" customHeight="1" x14ac:dyDescent="0.35">
      <c r="B14" s="5" t="s">
        <v>220</v>
      </c>
      <c r="C14" s="15" t="s">
        <v>221</v>
      </c>
    </row>
    <row r="15" spans="2:3" ht="18" hidden="1" customHeight="1" x14ac:dyDescent="0.35">
      <c r="B15" s="4" t="s">
        <v>226</v>
      </c>
      <c r="C15" s="13" t="s">
        <v>222</v>
      </c>
    </row>
    <row r="16" spans="2:3" ht="18" hidden="1" customHeight="1" x14ac:dyDescent="0.35">
      <c r="B16" s="5" t="s">
        <v>227</v>
      </c>
      <c r="C16" s="14" t="s">
        <v>223</v>
      </c>
    </row>
    <row r="17" spans="2:10" ht="18" hidden="1" customHeight="1" x14ac:dyDescent="0.35">
      <c r="B17" s="4" t="s">
        <v>228</v>
      </c>
      <c r="C17" s="13" t="s">
        <v>224</v>
      </c>
    </row>
    <row r="18" spans="2:10" ht="18" hidden="1" customHeight="1" x14ac:dyDescent="0.35">
      <c r="B18" s="5" t="s">
        <v>229</v>
      </c>
      <c r="C18" s="15" t="s">
        <v>221</v>
      </c>
    </row>
    <row r="19" spans="2:10" ht="18" customHeight="1" x14ac:dyDescent="0.35">
      <c r="B19" s="50" t="s">
        <v>373</v>
      </c>
      <c r="C19" s="7" t="s">
        <v>363</v>
      </c>
    </row>
    <row r="20" spans="2:10" ht="18" customHeight="1" x14ac:dyDescent="0.35">
      <c r="B20" s="51" t="s">
        <v>374</v>
      </c>
      <c r="C20" s="9" t="s">
        <v>364</v>
      </c>
    </row>
    <row r="21" spans="2:10" ht="18" customHeight="1" x14ac:dyDescent="0.35">
      <c r="B21" s="50" t="s">
        <v>375</v>
      </c>
      <c r="C21" s="7" t="s">
        <v>390</v>
      </c>
    </row>
    <row r="22" spans="2:10" ht="18" customHeight="1" x14ac:dyDescent="0.35">
      <c r="B22" s="51" t="s">
        <v>376</v>
      </c>
      <c r="C22" s="10" t="s">
        <v>391</v>
      </c>
    </row>
    <row r="23" spans="2:10" s="65" customFormat="1" ht="18" customHeight="1" x14ac:dyDescent="0.35">
      <c r="B23" s="50"/>
      <c r="C23" s="7"/>
      <c r="E23"/>
    </row>
    <row r="24" spans="2:10" s="65" customFormat="1" x14ac:dyDescent="0.35">
      <c r="E24"/>
    </row>
    <row r="25" spans="2:10" s="65" customFormat="1" x14ac:dyDescent="0.35">
      <c r="E25"/>
    </row>
    <row r="26" spans="2:10" x14ac:dyDescent="0.35">
      <c r="D26"/>
      <c r="F26"/>
      <c r="G26"/>
      <c r="H26"/>
      <c r="I26"/>
      <c r="J26"/>
    </row>
    <row r="27" spans="2:10" x14ac:dyDescent="0.35">
      <c r="D27"/>
      <c r="F27"/>
      <c r="G27"/>
      <c r="H27"/>
      <c r="I27"/>
      <c r="J27"/>
    </row>
    <row r="28" spans="2:10" x14ac:dyDescent="0.35">
      <c r="D28"/>
      <c r="F28"/>
      <c r="G28"/>
      <c r="H28"/>
      <c r="I28"/>
      <c r="J28"/>
    </row>
    <row r="29" spans="2:10" x14ac:dyDescent="0.35">
      <c r="D29"/>
      <c r="F29"/>
      <c r="G29"/>
      <c r="H29"/>
      <c r="I29"/>
      <c r="J29"/>
    </row>
    <row r="30" spans="2:10" x14ac:dyDescent="0.35">
      <c r="D30"/>
      <c r="F30"/>
      <c r="G30"/>
      <c r="H30"/>
      <c r="I30"/>
      <c r="J30"/>
    </row>
    <row r="31" spans="2:10" x14ac:dyDescent="0.35">
      <c r="D31"/>
      <c r="F31"/>
      <c r="G31"/>
      <c r="H31"/>
      <c r="I31"/>
      <c r="J31"/>
    </row>
    <row r="32" spans="2:10" x14ac:dyDescent="0.35">
      <c r="D32"/>
      <c r="F32"/>
      <c r="G32"/>
      <c r="H32"/>
      <c r="I32"/>
      <c r="J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</sheetData>
  <phoneticPr fontId="11" type="noConversion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B354-21C8-4C13-9135-C2A61042714C}">
  <dimension ref="B2:E31"/>
  <sheetViews>
    <sheetView showGridLines="0" zoomScale="80" zoomScaleNormal="80" workbookViewId="0">
      <selection activeCell="G13" sqref="G13"/>
    </sheetView>
  </sheetViews>
  <sheetFormatPr defaultRowHeight="14.5" x14ac:dyDescent="0.35"/>
  <cols>
    <col min="2" max="2" width="5.90625" style="26" customWidth="1"/>
    <col min="3" max="5" width="35.54296875" customWidth="1"/>
  </cols>
  <sheetData>
    <row r="2" spans="2:5" ht="15" thickBot="1" x14ac:dyDescent="0.4"/>
    <row r="3" spans="2:5" ht="25.5" customHeight="1" thickBot="1" x14ac:dyDescent="0.4">
      <c r="B3" s="27"/>
      <c r="C3" s="28" t="s">
        <v>115</v>
      </c>
      <c r="D3" s="28" t="s">
        <v>116</v>
      </c>
      <c r="E3" s="28" t="s">
        <v>117</v>
      </c>
    </row>
    <row r="4" spans="2:5" ht="21" customHeight="1" thickBot="1" x14ac:dyDescent="0.4">
      <c r="B4" s="201" t="s">
        <v>118</v>
      </c>
      <c r="C4" s="192" t="s">
        <v>125</v>
      </c>
      <c r="D4" s="202" t="s">
        <v>125</v>
      </c>
      <c r="E4" s="202" t="s">
        <v>125</v>
      </c>
    </row>
    <row r="5" spans="2:5" ht="21" customHeight="1" thickBot="1" x14ac:dyDescent="0.4">
      <c r="B5" s="201"/>
      <c r="C5" s="193"/>
      <c r="D5" s="190"/>
      <c r="E5" s="190"/>
    </row>
    <row r="6" spans="2:5" ht="21" customHeight="1" thickBot="1" x14ac:dyDescent="0.4">
      <c r="B6" s="201"/>
      <c r="C6" s="193"/>
      <c r="D6" s="190"/>
      <c r="E6" s="190"/>
    </row>
    <row r="7" spans="2:5" ht="21" customHeight="1" thickBot="1" x14ac:dyDescent="0.4">
      <c r="B7" s="201"/>
      <c r="C7" s="194"/>
      <c r="D7" s="191"/>
      <c r="E7" s="191"/>
    </row>
    <row r="8" spans="2:5" ht="21" customHeight="1" thickBot="1" x14ac:dyDescent="0.4">
      <c r="B8" s="201" t="s">
        <v>119</v>
      </c>
      <c r="C8" s="94" t="s">
        <v>128</v>
      </c>
      <c r="D8" s="202" t="s">
        <v>125</v>
      </c>
      <c r="E8" s="98" t="s">
        <v>128</v>
      </c>
    </row>
    <row r="9" spans="2:5" ht="21" customHeight="1" thickBot="1" x14ac:dyDescent="0.4">
      <c r="B9" s="201"/>
      <c r="C9" s="95" t="s">
        <v>455</v>
      </c>
      <c r="D9" s="190"/>
      <c r="E9" s="99" t="s">
        <v>127</v>
      </c>
    </row>
    <row r="10" spans="2:5" ht="21" customHeight="1" thickBot="1" x14ac:dyDescent="0.4">
      <c r="B10" s="201"/>
      <c r="C10" s="95" t="s">
        <v>126</v>
      </c>
      <c r="D10" s="190"/>
      <c r="E10" s="100" t="s">
        <v>126</v>
      </c>
    </row>
    <row r="11" spans="2:5" ht="21" customHeight="1" thickBot="1" x14ac:dyDescent="0.4">
      <c r="B11" s="201"/>
      <c r="C11" s="96" t="s">
        <v>456</v>
      </c>
      <c r="D11" s="191"/>
      <c r="E11" s="101" t="s">
        <v>457</v>
      </c>
    </row>
    <row r="12" spans="2:5" ht="21" customHeight="1" thickBot="1" x14ac:dyDescent="0.4">
      <c r="B12" s="201" t="s">
        <v>120</v>
      </c>
      <c r="C12" s="97" t="s">
        <v>128</v>
      </c>
      <c r="D12" s="193" t="s">
        <v>125</v>
      </c>
      <c r="E12" s="190" t="s">
        <v>125</v>
      </c>
    </row>
    <row r="13" spans="2:5" ht="21" customHeight="1" thickBot="1" x14ac:dyDescent="0.4">
      <c r="B13" s="201"/>
      <c r="C13" s="95" t="s">
        <v>455</v>
      </c>
      <c r="D13" s="193"/>
      <c r="E13" s="190"/>
    </row>
    <row r="14" spans="2:5" ht="21" customHeight="1" thickBot="1" x14ac:dyDescent="0.4">
      <c r="B14" s="201"/>
      <c r="C14" s="95" t="s">
        <v>126</v>
      </c>
      <c r="D14" s="193"/>
      <c r="E14" s="190"/>
    </row>
    <row r="15" spans="2:5" ht="21" customHeight="1" thickBot="1" x14ac:dyDescent="0.4">
      <c r="B15" s="201"/>
      <c r="C15" s="96" t="s">
        <v>458</v>
      </c>
      <c r="D15" s="194"/>
      <c r="E15" s="191"/>
    </row>
    <row r="16" spans="2:5" ht="21" customHeight="1" thickBot="1" x14ac:dyDescent="0.4">
      <c r="B16" s="201" t="s">
        <v>121</v>
      </c>
      <c r="C16" s="195" t="s">
        <v>461</v>
      </c>
      <c r="D16" s="196"/>
      <c r="E16" s="190" t="s">
        <v>125</v>
      </c>
    </row>
    <row r="17" spans="2:5" ht="21" customHeight="1" thickBot="1" x14ac:dyDescent="0.4">
      <c r="B17" s="201"/>
      <c r="C17" s="197" t="s">
        <v>460</v>
      </c>
      <c r="D17" s="198"/>
      <c r="E17" s="190"/>
    </row>
    <row r="18" spans="2:5" ht="21" customHeight="1" thickBot="1" x14ac:dyDescent="0.4">
      <c r="B18" s="201"/>
      <c r="C18" s="197" t="s">
        <v>126</v>
      </c>
      <c r="D18" s="198"/>
      <c r="E18" s="190"/>
    </row>
    <row r="19" spans="2:5" ht="21" customHeight="1" thickBot="1" x14ac:dyDescent="0.4">
      <c r="B19" s="201"/>
      <c r="C19" s="199" t="s">
        <v>459</v>
      </c>
      <c r="D19" s="200"/>
      <c r="E19" s="190"/>
    </row>
    <row r="20" spans="2:5" ht="21" customHeight="1" thickBot="1" x14ac:dyDescent="0.4">
      <c r="B20" s="201" t="s">
        <v>122</v>
      </c>
      <c r="C20" s="192" t="s">
        <v>125</v>
      </c>
      <c r="D20" s="192" t="s">
        <v>125</v>
      </c>
      <c r="E20" s="192" t="s">
        <v>125</v>
      </c>
    </row>
    <row r="21" spans="2:5" ht="21" customHeight="1" thickBot="1" x14ac:dyDescent="0.4">
      <c r="B21" s="201"/>
      <c r="C21" s="193"/>
      <c r="D21" s="193"/>
      <c r="E21" s="193"/>
    </row>
    <row r="22" spans="2:5" ht="21" customHeight="1" thickBot="1" x14ac:dyDescent="0.4">
      <c r="B22" s="201"/>
      <c r="C22" s="193"/>
      <c r="D22" s="193"/>
      <c r="E22" s="193"/>
    </row>
    <row r="23" spans="2:5" ht="21" customHeight="1" thickBot="1" x14ac:dyDescent="0.4">
      <c r="B23" s="201"/>
      <c r="C23" s="194"/>
      <c r="D23" s="194"/>
      <c r="E23" s="193"/>
    </row>
    <row r="24" spans="2:5" ht="21" customHeight="1" thickBot="1" x14ac:dyDescent="0.4">
      <c r="B24" s="201" t="s">
        <v>123</v>
      </c>
      <c r="C24" s="91" t="s">
        <v>128</v>
      </c>
      <c r="D24" s="91" t="s">
        <v>128</v>
      </c>
      <c r="E24" s="192" t="s">
        <v>125</v>
      </c>
    </row>
    <row r="25" spans="2:5" ht="21" customHeight="1" thickBot="1" x14ac:dyDescent="0.4">
      <c r="B25" s="201"/>
      <c r="C25" s="90" t="s">
        <v>465</v>
      </c>
      <c r="D25" s="90" t="s">
        <v>467</v>
      </c>
      <c r="E25" s="193"/>
    </row>
    <row r="26" spans="2:5" ht="21" customHeight="1" thickBot="1" x14ac:dyDescent="0.4">
      <c r="B26" s="201"/>
      <c r="C26" s="90" t="s">
        <v>126</v>
      </c>
      <c r="D26" s="90" t="s">
        <v>126</v>
      </c>
      <c r="E26" s="193"/>
    </row>
    <row r="27" spans="2:5" ht="21" customHeight="1" thickBot="1" x14ac:dyDescent="0.4">
      <c r="B27" s="201"/>
      <c r="C27" s="92" t="s">
        <v>466</v>
      </c>
      <c r="D27" s="92" t="s">
        <v>466</v>
      </c>
      <c r="E27" s="194"/>
    </row>
    <row r="28" spans="2:5" ht="21" customHeight="1" thickBot="1" x14ac:dyDescent="0.4">
      <c r="B28" s="201" t="s">
        <v>124</v>
      </c>
      <c r="C28" s="91" t="s">
        <v>462</v>
      </c>
      <c r="D28" s="192" t="s">
        <v>125</v>
      </c>
      <c r="E28" s="192" t="s">
        <v>125</v>
      </c>
    </row>
    <row r="29" spans="2:5" ht="21" customHeight="1" thickBot="1" x14ac:dyDescent="0.4">
      <c r="B29" s="201"/>
      <c r="C29" s="91" t="s">
        <v>463</v>
      </c>
      <c r="D29" s="193"/>
      <c r="E29" s="193"/>
    </row>
    <row r="30" spans="2:5" ht="21" customHeight="1" thickBot="1" x14ac:dyDescent="0.4">
      <c r="B30" s="201"/>
      <c r="C30" s="91" t="s">
        <v>464</v>
      </c>
      <c r="D30" s="193"/>
      <c r="E30" s="193"/>
    </row>
    <row r="31" spans="2:5" ht="21" customHeight="1" thickBot="1" x14ac:dyDescent="0.4">
      <c r="B31" s="201"/>
      <c r="C31" s="93"/>
      <c r="D31" s="194"/>
      <c r="E31" s="194"/>
    </row>
  </sheetData>
  <mergeCells count="24">
    <mergeCell ref="B28:B31"/>
    <mergeCell ref="E28:E31"/>
    <mergeCell ref="B24:B27"/>
    <mergeCell ref="B4:B7"/>
    <mergeCell ref="B8:B11"/>
    <mergeCell ref="B12:B15"/>
    <mergeCell ref="B16:B19"/>
    <mergeCell ref="B20:B23"/>
    <mergeCell ref="D4:D7"/>
    <mergeCell ref="E24:E27"/>
    <mergeCell ref="D12:D15"/>
    <mergeCell ref="E20:E23"/>
    <mergeCell ref="E16:E19"/>
    <mergeCell ref="C4:C7"/>
    <mergeCell ref="E4:E7"/>
    <mergeCell ref="D8:D11"/>
    <mergeCell ref="E12:E15"/>
    <mergeCell ref="D28:D31"/>
    <mergeCell ref="D20:D23"/>
    <mergeCell ref="C20:C23"/>
    <mergeCell ref="C16:D16"/>
    <mergeCell ref="C17:D17"/>
    <mergeCell ref="C18:D18"/>
    <mergeCell ref="C19:D19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58CD-9DB6-4FFE-9095-6D3C9DA7792B}">
  <dimension ref="A1:K30"/>
  <sheetViews>
    <sheetView topLeftCell="B1" zoomScale="80" zoomScaleNormal="80" workbookViewId="0">
      <selection activeCell="F11" sqref="F11:H20"/>
    </sheetView>
  </sheetViews>
  <sheetFormatPr defaultRowHeight="14.5" x14ac:dyDescent="0.35"/>
  <cols>
    <col min="1" max="1" width="31" bestFit="1" customWidth="1"/>
    <col min="2" max="8" width="28.453125" customWidth="1"/>
    <col min="9" max="9" width="15.54296875" customWidth="1"/>
    <col min="10" max="11" width="17.90625" customWidth="1"/>
  </cols>
  <sheetData>
    <row r="1" spans="1:11" x14ac:dyDescent="0.35">
      <c r="A1" s="73"/>
      <c r="B1" s="71" t="s">
        <v>381</v>
      </c>
      <c r="C1" s="72" t="s">
        <v>384</v>
      </c>
      <c r="D1" s="71" t="s">
        <v>140</v>
      </c>
      <c r="E1" s="72" t="s">
        <v>392</v>
      </c>
      <c r="F1" s="71" t="s">
        <v>383</v>
      </c>
      <c r="G1" s="72" t="s">
        <v>142</v>
      </c>
      <c r="H1" s="71" t="s">
        <v>382</v>
      </c>
      <c r="J1" t="s">
        <v>381</v>
      </c>
      <c r="K1" t="s">
        <v>384</v>
      </c>
    </row>
    <row r="2" spans="1:11" x14ac:dyDescent="0.35">
      <c r="A2" s="71" t="s">
        <v>381</v>
      </c>
      <c r="B2" s="74"/>
      <c r="C2" s="75" t="str">
        <f>_xlfn.CONCAT($A$2," E ", C1)</f>
        <v>REGINALDO E JARAGUÁ</v>
      </c>
      <c r="D2" s="75" t="str">
        <f t="shared" ref="D2:H2" si="0">_xlfn.CONCAT($A$2," E ", D1)</f>
        <v>REGINALDO E WALDINES</v>
      </c>
      <c r="E2" s="75" t="str">
        <f t="shared" si="0"/>
        <v>REGINALDO E NAIDE</v>
      </c>
      <c r="F2" s="75" t="str">
        <f t="shared" si="0"/>
        <v>REGINALDO E SALÃO DO REINO</v>
      </c>
      <c r="G2" s="75" t="str">
        <f t="shared" si="0"/>
        <v>REGINALDO E OLIVEIROS</v>
      </c>
      <c r="H2" s="75" t="str">
        <f t="shared" si="0"/>
        <v>REGINALDO E CARMINHA</v>
      </c>
      <c r="J2" t="s">
        <v>140</v>
      </c>
      <c r="K2" t="s">
        <v>392</v>
      </c>
    </row>
    <row r="3" spans="1:11" x14ac:dyDescent="0.35">
      <c r="A3" s="72" t="s">
        <v>384</v>
      </c>
      <c r="B3" s="75"/>
      <c r="C3" s="74"/>
      <c r="D3" s="75" t="str">
        <f>_xlfn.CONCAT($A$3," E ", D1)</f>
        <v>JARAGUÁ E WALDINES</v>
      </c>
      <c r="E3" s="75" t="str">
        <f>_xlfn.CONCAT($A$3," E ", E1)</f>
        <v>JARAGUÁ E NAIDE</v>
      </c>
      <c r="F3" s="75" t="str">
        <f>_xlfn.CONCAT($A$3," E ", F1)</f>
        <v>JARAGUÁ E SALÃO DO REINO</v>
      </c>
      <c r="G3" s="75" t="str">
        <f>_xlfn.CONCAT($A$3," E ", G1)</f>
        <v>JARAGUÁ E OLIVEIROS</v>
      </c>
      <c r="H3" s="75" t="str">
        <f>_xlfn.CONCAT($A$3," E ", H1)</f>
        <v>JARAGUÁ E CARMINHA</v>
      </c>
      <c r="J3" t="s">
        <v>396</v>
      </c>
      <c r="K3" t="s">
        <v>142</v>
      </c>
    </row>
    <row r="4" spans="1:11" x14ac:dyDescent="0.35">
      <c r="A4" s="71" t="s">
        <v>140</v>
      </c>
      <c r="B4" s="75"/>
      <c r="C4" s="75"/>
      <c r="D4" s="74"/>
      <c r="E4" s="75" t="str">
        <f>_xlfn.CONCAT($A$4," E ", E1)</f>
        <v>WALDINES E NAIDE</v>
      </c>
      <c r="F4" s="75" t="str">
        <f>_xlfn.CONCAT($A$4," E ", F1)</f>
        <v>WALDINES E SALÃO DO REINO</v>
      </c>
      <c r="G4" s="75" t="str">
        <f>_xlfn.CONCAT($A$4," E ", G1)</f>
        <v>WALDINES E OLIVEIROS</v>
      </c>
      <c r="H4" s="75" t="str">
        <f>_xlfn.CONCAT($A$4," E ", H1)</f>
        <v>WALDINES E CARMINHA</v>
      </c>
      <c r="J4" t="s">
        <v>382</v>
      </c>
      <c r="K4" t="s">
        <v>381</v>
      </c>
    </row>
    <row r="5" spans="1:11" x14ac:dyDescent="0.35">
      <c r="A5" s="72" t="s">
        <v>392</v>
      </c>
      <c r="B5" s="75"/>
      <c r="C5" s="75"/>
      <c r="D5" s="75"/>
      <c r="E5" s="74"/>
      <c r="F5" s="75" t="str">
        <f>_xlfn.CONCAT($A$5," E ", F1)</f>
        <v>NAIDE E SALÃO DO REINO</v>
      </c>
      <c r="G5" s="75" t="str">
        <f>_xlfn.CONCAT($A$5," E ", G1)</f>
        <v>NAIDE E OLIVEIROS</v>
      </c>
      <c r="H5" s="75" t="str">
        <f>_xlfn.CONCAT($A$5," E ", H1)</f>
        <v>NAIDE E CARMINHA</v>
      </c>
      <c r="J5" t="s">
        <v>384</v>
      </c>
      <c r="K5" t="s">
        <v>140</v>
      </c>
    </row>
    <row r="6" spans="1:11" x14ac:dyDescent="0.35">
      <c r="A6" s="71" t="s">
        <v>383</v>
      </c>
      <c r="B6" s="75"/>
      <c r="C6" s="75"/>
      <c r="D6" s="75"/>
      <c r="E6" s="75"/>
      <c r="F6" s="74"/>
      <c r="G6" s="75" t="str">
        <f>_xlfn.CONCAT($A$6," E ", G1)</f>
        <v>SALÃO DO REINO E OLIVEIROS</v>
      </c>
      <c r="H6" s="75" t="str">
        <f>_xlfn.CONCAT($A$6," E ", H1)</f>
        <v>SALÃO DO REINO E CARMINHA</v>
      </c>
      <c r="J6" t="s">
        <v>392</v>
      </c>
      <c r="K6" t="s">
        <v>396</v>
      </c>
    </row>
    <row r="7" spans="1:11" x14ac:dyDescent="0.35">
      <c r="A7" s="72" t="s">
        <v>142</v>
      </c>
      <c r="B7" s="75"/>
      <c r="C7" s="75"/>
      <c r="D7" s="75"/>
      <c r="E7" s="75"/>
      <c r="F7" s="75"/>
      <c r="G7" s="74"/>
      <c r="H7" s="75" t="str">
        <f>_xlfn.CONCAT($A$7," E ", H1)</f>
        <v>OLIVEIROS E CARMINHA</v>
      </c>
      <c r="J7" t="s">
        <v>142</v>
      </c>
      <c r="K7" t="s">
        <v>382</v>
      </c>
    </row>
    <row r="8" spans="1:11" x14ac:dyDescent="0.35">
      <c r="A8" s="71" t="s">
        <v>382</v>
      </c>
      <c r="B8" s="75"/>
      <c r="C8" s="75"/>
      <c r="D8" s="75"/>
      <c r="E8" s="75"/>
      <c r="F8" s="75"/>
      <c r="G8" s="75"/>
      <c r="H8" s="74"/>
    </row>
    <row r="10" spans="1:11" x14ac:dyDescent="0.35">
      <c r="A10" s="76" t="s">
        <v>363</v>
      </c>
    </row>
    <row r="11" spans="1:11" s="73" customFormat="1" x14ac:dyDescent="0.35">
      <c r="A11" s="76" t="s">
        <v>364</v>
      </c>
      <c r="B11"/>
      <c r="C11"/>
      <c r="F11" s="156" t="s">
        <v>0</v>
      </c>
      <c r="G11" s="156"/>
      <c r="H11" s="1" t="s">
        <v>380</v>
      </c>
    </row>
    <row r="12" spans="1:11" s="73" customFormat="1" ht="15" customHeight="1" x14ac:dyDescent="0.35">
      <c r="A12" s="76" t="s">
        <v>390</v>
      </c>
      <c r="B12"/>
      <c r="C12"/>
      <c r="F12" s="203" t="s">
        <v>421</v>
      </c>
      <c r="G12" s="67">
        <v>45781</v>
      </c>
      <c r="H12" t="s">
        <v>59</v>
      </c>
    </row>
    <row r="13" spans="1:11" s="73" customFormat="1" x14ac:dyDescent="0.35">
      <c r="A13" s="76" t="s">
        <v>391</v>
      </c>
      <c r="B13"/>
      <c r="C13"/>
      <c r="D13" t="s">
        <v>284</v>
      </c>
      <c r="F13" s="203"/>
      <c r="G13" s="68">
        <v>45788</v>
      </c>
      <c r="H13" t="s">
        <v>282</v>
      </c>
    </row>
    <row r="14" spans="1:11" s="73" customFormat="1" x14ac:dyDescent="0.35">
      <c r="A14" s="76" t="s">
        <v>393</v>
      </c>
      <c r="B14"/>
      <c r="C14"/>
      <c r="D14" t="s">
        <v>91</v>
      </c>
      <c r="E14" t="s">
        <v>289</v>
      </c>
      <c r="F14" s="203"/>
      <c r="G14" s="67">
        <v>45795</v>
      </c>
      <c r="H14" t="s">
        <v>59</v>
      </c>
    </row>
    <row r="15" spans="1:11" s="73" customFormat="1" x14ac:dyDescent="0.35">
      <c r="A15" s="76" t="s">
        <v>394</v>
      </c>
      <c r="B15"/>
      <c r="C15"/>
      <c r="D15" t="s">
        <v>321</v>
      </c>
      <c r="F15" s="203"/>
      <c r="G15" s="68">
        <v>45802</v>
      </c>
      <c r="H15" t="s">
        <v>283</v>
      </c>
    </row>
    <row r="16" spans="1:11" s="73" customFormat="1" x14ac:dyDescent="0.35">
      <c r="A16" s="76" t="s">
        <v>395</v>
      </c>
      <c r="B16"/>
      <c r="C16"/>
      <c r="F16" s="204" t="s">
        <v>422</v>
      </c>
      <c r="G16" s="67">
        <v>45809</v>
      </c>
      <c r="H16" t="s">
        <v>59</v>
      </c>
    </row>
    <row r="17" spans="1:8" s="73" customFormat="1" ht="15" customHeight="1" x14ac:dyDescent="0.35">
      <c r="A17" s="76" t="s">
        <v>397</v>
      </c>
      <c r="B17"/>
      <c r="C17"/>
      <c r="E17"/>
      <c r="F17" s="204"/>
      <c r="G17" s="68">
        <v>45816</v>
      </c>
      <c r="H17" t="s">
        <v>387</v>
      </c>
    </row>
    <row r="18" spans="1:8" s="73" customFormat="1" x14ac:dyDescent="0.35">
      <c r="A18" s="76" t="s">
        <v>398</v>
      </c>
      <c r="B18"/>
      <c r="C18"/>
      <c r="E18"/>
      <c r="F18" s="204"/>
      <c r="G18" s="67">
        <v>45823</v>
      </c>
      <c r="H18" t="s">
        <v>59</v>
      </c>
    </row>
    <row r="19" spans="1:8" x14ac:dyDescent="0.35">
      <c r="A19" s="76" t="s">
        <v>399</v>
      </c>
      <c r="F19" s="204"/>
      <c r="G19" s="68">
        <v>45830</v>
      </c>
      <c r="H19" t="s">
        <v>358</v>
      </c>
    </row>
    <row r="20" spans="1:8" x14ac:dyDescent="0.35">
      <c r="A20" s="76" t="s">
        <v>400</v>
      </c>
      <c r="D20" t="s">
        <v>63</v>
      </c>
      <c r="F20" s="204"/>
      <c r="G20" s="67">
        <v>45837</v>
      </c>
      <c r="H20" t="s">
        <v>59</v>
      </c>
    </row>
    <row r="21" spans="1:8" x14ac:dyDescent="0.35">
      <c r="A21" s="76" t="s">
        <v>401</v>
      </c>
      <c r="D21" t="s">
        <v>310</v>
      </c>
    </row>
    <row r="22" spans="1:8" x14ac:dyDescent="0.35">
      <c r="A22" s="76" t="s">
        <v>402</v>
      </c>
      <c r="D22" t="s">
        <v>299</v>
      </c>
    </row>
    <row r="23" spans="1:8" x14ac:dyDescent="0.35">
      <c r="A23" s="76" t="s">
        <v>403</v>
      </c>
      <c r="D23" t="s">
        <v>388</v>
      </c>
    </row>
    <row r="24" spans="1:8" x14ac:dyDescent="0.35">
      <c r="A24" s="76" t="s">
        <v>404</v>
      </c>
      <c r="D24" t="s">
        <v>322</v>
      </c>
    </row>
    <row r="25" spans="1:8" x14ac:dyDescent="0.35">
      <c r="A25" s="76" t="s">
        <v>405</v>
      </c>
      <c r="D25" t="s">
        <v>351</v>
      </c>
    </row>
    <row r="26" spans="1:8" x14ac:dyDescent="0.35">
      <c r="A26" s="76" t="s">
        <v>406</v>
      </c>
      <c r="D26" t="s">
        <v>389</v>
      </c>
    </row>
    <row r="27" spans="1:8" x14ac:dyDescent="0.35">
      <c r="A27" s="76" t="s">
        <v>407</v>
      </c>
    </row>
    <row r="28" spans="1:8" x14ac:dyDescent="0.35">
      <c r="A28" s="76" t="s">
        <v>408</v>
      </c>
    </row>
    <row r="29" spans="1:8" x14ac:dyDescent="0.35">
      <c r="A29" s="76" t="s">
        <v>409</v>
      </c>
    </row>
    <row r="30" spans="1:8" x14ac:dyDescent="0.35">
      <c r="A30" s="76" t="s">
        <v>410</v>
      </c>
    </row>
  </sheetData>
  <mergeCells count="3">
    <mergeCell ref="F11:G11"/>
    <mergeCell ref="F12:F15"/>
    <mergeCell ref="F16:F20"/>
  </mergeCells>
  <dataValidations count="1">
    <dataValidation type="list" allowBlank="1" showInputMessage="1" showErrorMessage="1" sqref="J1:K1048576" xr:uid="{332F1C82-4E04-4AE6-9F49-0F03A229B07E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65C7-6E78-4A9C-BB23-256E36A7971C}">
  <dimension ref="A1:H47"/>
  <sheetViews>
    <sheetView showGridLines="0" topLeftCell="A7" zoomScale="91" zoomScaleNormal="91" workbookViewId="0">
      <selection activeCell="B13" sqref="B13"/>
    </sheetView>
  </sheetViews>
  <sheetFormatPr defaultColWidth="9.08984375" defaultRowHeight="13" x14ac:dyDescent="0.3"/>
  <cols>
    <col min="1" max="1" width="3.36328125" style="18" customWidth="1"/>
    <col min="2" max="2" width="30.6328125" style="18" customWidth="1"/>
    <col min="3" max="3" width="3.36328125" style="18" customWidth="1"/>
    <col min="4" max="4" width="30.6328125" style="18" customWidth="1"/>
    <col min="5" max="5" width="3.36328125" style="18" customWidth="1"/>
    <col min="6" max="6" width="30.6328125" style="18" customWidth="1"/>
    <col min="7" max="7" width="3.36328125" style="18" customWidth="1"/>
    <col min="8" max="8" width="30.6328125" style="18" customWidth="1"/>
    <col min="9" max="16384" width="9.08984375" style="18"/>
  </cols>
  <sheetData>
    <row r="1" spans="1:8" s="19" customFormat="1" ht="20.25" customHeight="1" x14ac:dyDescent="0.35">
      <c r="A1" s="182" t="s">
        <v>35</v>
      </c>
      <c r="B1" s="183"/>
      <c r="C1" s="188" t="s">
        <v>214</v>
      </c>
      <c r="D1" s="183"/>
      <c r="E1" s="186" t="s">
        <v>38</v>
      </c>
      <c r="F1" s="186"/>
      <c r="G1" s="172" t="s">
        <v>40</v>
      </c>
      <c r="H1" s="178"/>
    </row>
    <row r="2" spans="1:8" s="20" customFormat="1" ht="24.9" customHeight="1" x14ac:dyDescent="0.35">
      <c r="A2" s="215" t="s">
        <v>36</v>
      </c>
      <c r="B2" s="216"/>
      <c r="C2" s="217" t="s">
        <v>37</v>
      </c>
      <c r="D2" s="216"/>
      <c r="E2" s="218" t="s">
        <v>328</v>
      </c>
      <c r="F2" s="218"/>
      <c r="G2" s="209" t="s">
        <v>329</v>
      </c>
      <c r="H2" s="207"/>
    </row>
    <row r="3" spans="1:8" x14ac:dyDescent="0.3">
      <c r="A3" s="205" t="s">
        <v>232</v>
      </c>
      <c r="B3" s="206"/>
      <c r="C3" s="205" t="s">
        <v>233</v>
      </c>
      <c r="D3" s="206"/>
      <c r="E3" s="205" t="s">
        <v>234</v>
      </c>
      <c r="F3" s="206"/>
      <c r="G3" s="205" t="s">
        <v>235</v>
      </c>
      <c r="H3" s="206"/>
    </row>
    <row r="4" spans="1:8" ht="12.75" customHeight="1" x14ac:dyDescent="0.3">
      <c r="A4" s="168" t="s">
        <v>312</v>
      </c>
      <c r="B4" s="169"/>
      <c r="C4" s="211" t="s">
        <v>314</v>
      </c>
      <c r="D4" s="212"/>
      <c r="E4" s="168" t="s">
        <v>315</v>
      </c>
      <c r="F4" s="169"/>
      <c r="G4" s="168" t="s">
        <v>316</v>
      </c>
      <c r="H4" s="169"/>
    </row>
    <row r="5" spans="1:8" x14ac:dyDescent="0.3">
      <c r="A5" s="170"/>
      <c r="B5" s="171"/>
      <c r="C5" s="213"/>
      <c r="D5" s="214"/>
      <c r="E5" s="170"/>
      <c r="F5" s="171"/>
      <c r="G5" s="170"/>
      <c r="H5" s="171"/>
    </row>
    <row r="6" spans="1:8" ht="16.5" customHeight="1" x14ac:dyDescent="0.3">
      <c r="A6" s="22">
        <v>1</v>
      </c>
      <c r="B6" s="23" t="s">
        <v>46</v>
      </c>
      <c r="C6" s="22">
        <v>1</v>
      </c>
      <c r="D6" s="23" t="s">
        <v>54</v>
      </c>
      <c r="E6" s="22">
        <v>1</v>
      </c>
      <c r="F6" s="23" t="s">
        <v>64</v>
      </c>
      <c r="G6" s="22">
        <v>1</v>
      </c>
      <c r="H6" s="23" t="s">
        <v>236</v>
      </c>
    </row>
    <row r="7" spans="1:8" ht="16.5" customHeight="1" x14ac:dyDescent="0.3">
      <c r="A7" s="22">
        <v>2</v>
      </c>
      <c r="B7" s="23" t="s">
        <v>237</v>
      </c>
      <c r="C7" s="22">
        <v>2</v>
      </c>
      <c r="D7" s="24" t="s">
        <v>79</v>
      </c>
      <c r="E7" s="22">
        <v>2</v>
      </c>
      <c r="F7" s="23" t="s">
        <v>239</v>
      </c>
      <c r="G7" s="22">
        <v>2</v>
      </c>
      <c r="H7" s="24" t="s">
        <v>67</v>
      </c>
    </row>
    <row r="8" spans="1:8" ht="16.5" customHeight="1" x14ac:dyDescent="0.3">
      <c r="A8" s="22">
        <v>3</v>
      </c>
      <c r="B8" s="23" t="s">
        <v>47</v>
      </c>
      <c r="C8" s="22">
        <v>3</v>
      </c>
      <c r="D8" s="23" t="s">
        <v>238</v>
      </c>
      <c r="E8" s="22">
        <v>3</v>
      </c>
      <c r="F8" s="23" t="s">
        <v>65</v>
      </c>
      <c r="G8" s="22">
        <v>3</v>
      </c>
      <c r="H8" s="23" t="s">
        <v>335</v>
      </c>
    </row>
    <row r="9" spans="1:8" ht="16.5" customHeight="1" x14ac:dyDescent="0.3">
      <c r="A9" s="22">
        <v>4</v>
      </c>
      <c r="B9" s="24" t="s">
        <v>241</v>
      </c>
      <c r="C9" s="22">
        <v>4</v>
      </c>
      <c r="D9" s="23" t="s">
        <v>56</v>
      </c>
      <c r="E9" s="22">
        <v>4</v>
      </c>
      <c r="F9" s="23" t="s">
        <v>80</v>
      </c>
      <c r="G9" s="22">
        <v>4</v>
      </c>
      <c r="H9" s="24" t="s">
        <v>242</v>
      </c>
    </row>
    <row r="10" spans="1:8" ht="16.5" customHeight="1" x14ac:dyDescent="0.3">
      <c r="A10" s="22">
        <v>5</v>
      </c>
      <c r="B10" s="23" t="s">
        <v>243</v>
      </c>
      <c r="C10" s="22">
        <v>5</v>
      </c>
      <c r="D10" s="23" t="s">
        <v>313</v>
      </c>
      <c r="E10" s="22">
        <v>5</v>
      </c>
      <c r="F10" s="23" t="s">
        <v>68</v>
      </c>
      <c r="G10" s="22">
        <v>5</v>
      </c>
      <c r="H10" s="23" t="s">
        <v>70</v>
      </c>
    </row>
    <row r="11" spans="1:8" ht="16.5" customHeight="1" x14ac:dyDescent="0.3">
      <c r="A11" s="22">
        <v>6</v>
      </c>
      <c r="B11" s="24" t="s">
        <v>48</v>
      </c>
      <c r="C11" s="22">
        <v>6</v>
      </c>
      <c r="D11" s="23" t="s">
        <v>57</v>
      </c>
      <c r="E11" s="22">
        <v>6</v>
      </c>
      <c r="F11" s="23" t="s">
        <v>69</v>
      </c>
      <c r="G11" s="22">
        <v>6</v>
      </c>
      <c r="H11" s="23" t="s">
        <v>244</v>
      </c>
    </row>
    <row r="12" spans="1:8" ht="16.5" customHeight="1" x14ac:dyDescent="0.3">
      <c r="A12" s="22">
        <v>7</v>
      </c>
      <c r="B12" s="23" t="s">
        <v>245</v>
      </c>
      <c r="C12" s="22">
        <v>7</v>
      </c>
      <c r="D12" s="23" t="s">
        <v>58</v>
      </c>
      <c r="E12" s="22">
        <v>7</v>
      </c>
      <c r="F12" s="23" t="s">
        <v>247</v>
      </c>
      <c r="G12" s="22">
        <v>7</v>
      </c>
      <c r="H12" s="23" t="s">
        <v>246</v>
      </c>
    </row>
    <row r="13" spans="1:8" ht="16.5" customHeight="1" x14ac:dyDescent="0.3">
      <c r="A13" s="22">
        <v>8</v>
      </c>
      <c r="B13" s="23" t="s">
        <v>49</v>
      </c>
      <c r="C13" s="22">
        <v>8</v>
      </c>
      <c r="D13" s="23" t="s">
        <v>60</v>
      </c>
      <c r="E13" s="22">
        <v>8</v>
      </c>
      <c r="F13" s="23" t="s">
        <v>82</v>
      </c>
      <c r="G13" s="22">
        <v>8</v>
      </c>
      <c r="H13" s="23" t="s">
        <v>83</v>
      </c>
    </row>
    <row r="14" spans="1:8" ht="16.5" customHeight="1" x14ac:dyDescent="0.3">
      <c r="A14" s="22">
        <v>9</v>
      </c>
      <c r="B14" s="23" t="s">
        <v>248</v>
      </c>
      <c r="C14" s="22">
        <v>9</v>
      </c>
      <c r="D14" s="23" t="s">
        <v>293</v>
      </c>
      <c r="E14" s="22">
        <v>9</v>
      </c>
      <c r="F14" s="24" t="s">
        <v>282</v>
      </c>
      <c r="G14" s="22">
        <v>9</v>
      </c>
      <c r="H14" s="23" t="s">
        <v>84</v>
      </c>
    </row>
    <row r="15" spans="1:8" ht="16.5" customHeight="1" x14ac:dyDescent="0.3">
      <c r="A15" s="22">
        <v>10</v>
      </c>
      <c r="B15" s="23" t="s">
        <v>50</v>
      </c>
      <c r="C15" s="22">
        <v>10</v>
      </c>
      <c r="D15" s="24" t="s">
        <v>61</v>
      </c>
      <c r="E15" s="22">
        <v>10</v>
      </c>
      <c r="F15" s="23" t="s">
        <v>250</v>
      </c>
      <c r="G15" s="22">
        <v>10</v>
      </c>
      <c r="H15" s="23" t="s">
        <v>85</v>
      </c>
    </row>
    <row r="16" spans="1:8" ht="16.5" customHeight="1" x14ac:dyDescent="0.3">
      <c r="A16" s="22">
        <v>11</v>
      </c>
      <c r="B16" s="24" t="s">
        <v>251</v>
      </c>
      <c r="C16" s="22">
        <v>11</v>
      </c>
      <c r="D16" s="23" t="s">
        <v>334</v>
      </c>
      <c r="E16" s="22">
        <v>11</v>
      </c>
      <c r="F16" s="23" t="s">
        <v>73</v>
      </c>
      <c r="G16" s="22">
        <v>11</v>
      </c>
      <c r="H16" s="23" t="s">
        <v>102</v>
      </c>
    </row>
    <row r="17" spans="1:8" ht="16.5" customHeight="1" x14ac:dyDescent="0.3">
      <c r="A17" s="22">
        <v>12</v>
      </c>
      <c r="B17" s="23" t="s">
        <v>254</v>
      </c>
      <c r="C17" s="22">
        <v>12</v>
      </c>
      <c r="D17" s="23" t="s">
        <v>249</v>
      </c>
      <c r="E17" s="22">
        <v>12</v>
      </c>
      <c r="F17" s="23" t="s">
        <v>74</v>
      </c>
      <c r="G17" s="22">
        <v>12</v>
      </c>
      <c r="H17" s="23" t="s">
        <v>253</v>
      </c>
    </row>
    <row r="18" spans="1:8" ht="16.5" customHeight="1" x14ac:dyDescent="0.3">
      <c r="A18" s="22">
        <v>13</v>
      </c>
      <c r="B18" s="23" t="s">
        <v>256</v>
      </c>
      <c r="C18" s="22">
        <v>13</v>
      </c>
      <c r="D18" s="24" t="s">
        <v>252</v>
      </c>
      <c r="E18" s="22">
        <v>13</v>
      </c>
      <c r="F18" s="23" t="s">
        <v>87</v>
      </c>
      <c r="G18" s="22">
        <v>13</v>
      </c>
      <c r="H18" s="23" t="s">
        <v>86</v>
      </c>
    </row>
    <row r="19" spans="1:8" ht="16.5" customHeight="1" x14ac:dyDescent="0.3">
      <c r="A19" s="22">
        <v>14</v>
      </c>
      <c r="B19" s="23" t="s">
        <v>72</v>
      </c>
      <c r="C19" s="22">
        <v>14</v>
      </c>
      <c r="D19" s="23" t="s">
        <v>255</v>
      </c>
      <c r="E19" s="22">
        <v>14</v>
      </c>
      <c r="F19" s="23" t="s">
        <v>259</v>
      </c>
      <c r="G19" s="22">
        <v>14</v>
      </c>
      <c r="H19" s="24" t="s">
        <v>258</v>
      </c>
    </row>
    <row r="20" spans="1:8" ht="16.5" customHeight="1" x14ac:dyDescent="0.3">
      <c r="A20" s="22">
        <v>15</v>
      </c>
      <c r="B20" s="23" t="s">
        <v>51</v>
      </c>
      <c r="C20" s="22">
        <v>15</v>
      </c>
      <c r="D20" s="24" t="s">
        <v>257</v>
      </c>
      <c r="E20" s="22">
        <v>15</v>
      </c>
      <c r="F20" s="23" t="s">
        <v>261</v>
      </c>
      <c r="G20" s="22">
        <v>15</v>
      </c>
      <c r="H20" s="23" t="s">
        <v>332</v>
      </c>
    </row>
    <row r="21" spans="1:8" ht="16.5" customHeight="1" x14ac:dyDescent="0.3">
      <c r="A21" s="22">
        <v>16</v>
      </c>
      <c r="B21" s="23" t="s">
        <v>263</v>
      </c>
      <c r="C21" s="22">
        <v>16</v>
      </c>
      <c r="D21" s="23"/>
      <c r="E21" s="22">
        <v>16</v>
      </c>
      <c r="F21" s="24" t="s">
        <v>264</v>
      </c>
      <c r="G21" s="22">
        <v>16</v>
      </c>
      <c r="H21" s="23" t="s">
        <v>260</v>
      </c>
    </row>
    <row r="22" spans="1:8" ht="16.5" customHeight="1" x14ac:dyDescent="0.3">
      <c r="A22" s="22">
        <v>17</v>
      </c>
      <c r="B22" s="23" t="s">
        <v>52</v>
      </c>
      <c r="C22" s="22">
        <v>17</v>
      </c>
      <c r="D22" s="23"/>
      <c r="E22" s="22">
        <v>17</v>
      </c>
      <c r="F22" s="23" t="s">
        <v>76</v>
      </c>
      <c r="G22" s="22">
        <v>17</v>
      </c>
      <c r="H22" s="23" t="s">
        <v>262</v>
      </c>
    </row>
    <row r="23" spans="1:8" ht="16.5" customHeight="1" x14ac:dyDescent="0.3">
      <c r="A23" s="22">
        <v>18</v>
      </c>
      <c r="B23" s="23" t="s">
        <v>53</v>
      </c>
      <c r="C23" s="22">
        <v>18</v>
      </c>
      <c r="D23" s="23"/>
      <c r="E23" s="22">
        <v>18</v>
      </c>
      <c r="F23" s="23" t="s">
        <v>303</v>
      </c>
      <c r="G23" s="22">
        <v>18</v>
      </c>
      <c r="H23" s="23" t="s">
        <v>88</v>
      </c>
    </row>
    <row r="24" spans="1:8" ht="16.5" customHeight="1" x14ac:dyDescent="0.3">
      <c r="A24" s="22">
        <v>19</v>
      </c>
      <c r="B24" s="23" t="s">
        <v>267</v>
      </c>
      <c r="C24" s="22">
        <v>19</v>
      </c>
      <c r="D24" s="23"/>
      <c r="E24" s="22">
        <v>19</v>
      </c>
      <c r="F24" s="24" t="s">
        <v>78</v>
      </c>
      <c r="G24" s="22">
        <v>19</v>
      </c>
      <c r="H24" s="23" t="s">
        <v>265</v>
      </c>
    </row>
    <row r="25" spans="1:8" ht="16.5" customHeight="1" x14ac:dyDescent="0.3">
      <c r="A25" s="22">
        <v>20</v>
      </c>
      <c r="B25" s="23"/>
      <c r="C25" s="22">
        <v>20</v>
      </c>
      <c r="D25" s="23"/>
      <c r="E25" s="22">
        <v>20</v>
      </c>
      <c r="F25" s="23"/>
      <c r="G25" s="22">
        <v>20</v>
      </c>
      <c r="H25" s="23" t="s">
        <v>266</v>
      </c>
    </row>
    <row r="26" spans="1:8" ht="16.5" customHeight="1" x14ac:dyDescent="0.3">
      <c r="A26" s="22"/>
      <c r="B26" s="23"/>
      <c r="C26" s="22"/>
      <c r="D26" s="23"/>
      <c r="E26" s="22"/>
      <c r="F26" s="23"/>
      <c r="G26" s="22">
        <v>21</v>
      </c>
      <c r="H26" s="23" t="s">
        <v>77</v>
      </c>
    </row>
    <row r="27" spans="1:8" ht="20.25" customHeight="1" x14ac:dyDescent="0.35">
      <c r="A27" s="178" t="s">
        <v>42</v>
      </c>
      <c r="B27" s="179"/>
      <c r="C27" s="172" t="s">
        <v>44</v>
      </c>
      <c r="D27" s="172"/>
      <c r="E27" s="172" t="s">
        <v>268</v>
      </c>
      <c r="F27" s="172"/>
      <c r="G27" s="172" t="s">
        <v>269</v>
      </c>
      <c r="H27" s="173"/>
    </row>
    <row r="28" spans="1:8" s="48" customFormat="1" ht="24.9" customHeight="1" x14ac:dyDescent="0.35">
      <c r="A28" s="207" t="s">
        <v>43</v>
      </c>
      <c r="B28" s="208"/>
      <c r="C28" s="209" t="s">
        <v>45</v>
      </c>
      <c r="D28" s="209"/>
      <c r="E28" s="209" t="s">
        <v>330</v>
      </c>
      <c r="F28" s="209"/>
      <c r="G28" s="209" t="s">
        <v>331</v>
      </c>
      <c r="H28" s="210"/>
    </row>
    <row r="29" spans="1:8" ht="12.75" customHeight="1" x14ac:dyDescent="0.3">
      <c r="A29" s="205" t="s">
        <v>272</v>
      </c>
      <c r="B29" s="206"/>
      <c r="C29" s="205" t="s">
        <v>273</v>
      </c>
      <c r="D29" s="206"/>
      <c r="E29" s="205" t="s">
        <v>274</v>
      </c>
      <c r="F29" s="206"/>
      <c r="G29" s="205" t="s">
        <v>275</v>
      </c>
      <c r="H29" s="206"/>
    </row>
    <row r="30" spans="1:8" s="25" customFormat="1" ht="12.75" customHeight="1" x14ac:dyDescent="0.35">
      <c r="A30" s="168" t="s">
        <v>327</v>
      </c>
      <c r="B30" s="169"/>
      <c r="C30" s="168" t="s">
        <v>326</v>
      </c>
      <c r="D30" s="169"/>
      <c r="E30" s="168" t="s">
        <v>324</v>
      </c>
      <c r="F30" s="169"/>
      <c r="G30" s="168" t="s">
        <v>325</v>
      </c>
      <c r="H30" s="169"/>
    </row>
    <row r="31" spans="1:8" s="21" customFormat="1" ht="12.75" customHeight="1" x14ac:dyDescent="0.35">
      <c r="A31" s="170"/>
      <c r="B31" s="171"/>
      <c r="C31" s="170"/>
      <c r="D31" s="171"/>
      <c r="E31" s="170"/>
      <c r="F31" s="171"/>
      <c r="G31" s="170"/>
      <c r="H31" s="171"/>
    </row>
    <row r="32" spans="1:8" ht="16.5" customHeight="1" x14ac:dyDescent="0.3">
      <c r="A32" s="22">
        <v>1</v>
      </c>
      <c r="B32" s="23" t="s">
        <v>276</v>
      </c>
      <c r="C32" s="22">
        <v>1</v>
      </c>
      <c r="D32" s="24" t="s">
        <v>95</v>
      </c>
      <c r="E32" s="22">
        <v>1</v>
      </c>
      <c r="F32" s="23" t="s">
        <v>319</v>
      </c>
      <c r="G32" s="22">
        <v>1</v>
      </c>
      <c r="H32" s="23" t="s">
        <v>277</v>
      </c>
    </row>
    <row r="33" spans="1:8" ht="16.5" customHeight="1" x14ac:dyDescent="0.3">
      <c r="A33" s="22">
        <v>2</v>
      </c>
      <c r="B33" s="23" t="s">
        <v>278</v>
      </c>
      <c r="C33" s="22">
        <v>2</v>
      </c>
      <c r="D33" s="24" t="s">
        <v>279</v>
      </c>
      <c r="E33" s="22">
        <v>2</v>
      </c>
      <c r="F33" s="24" t="s">
        <v>320</v>
      </c>
      <c r="G33" s="22">
        <v>2</v>
      </c>
      <c r="H33" s="23" t="s">
        <v>281</v>
      </c>
    </row>
    <row r="34" spans="1:8" ht="16.5" customHeight="1" x14ac:dyDescent="0.3">
      <c r="A34" s="22">
        <v>3</v>
      </c>
      <c r="B34" s="23" t="s">
        <v>90</v>
      </c>
      <c r="C34" s="22">
        <v>3</v>
      </c>
      <c r="D34" s="23" t="s">
        <v>98</v>
      </c>
      <c r="E34" s="22">
        <v>3</v>
      </c>
      <c r="F34" s="23" t="s">
        <v>280</v>
      </c>
      <c r="G34" s="22">
        <v>3</v>
      </c>
      <c r="H34" s="23" t="s">
        <v>240</v>
      </c>
    </row>
    <row r="35" spans="1:8" ht="16.5" customHeight="1" x14ac:dyDescent="0.3">
      <c r="A35" s="22">
        <v>4</v>
      </c>
      <c r="B35" s="23" t="s">
        <v>286</v>
      </c>
      <c r="C35" s="22">
        <v>4</v>
      </c>
      <c r="D35" s="23" t="s">
        <v>285</v>
      </c>
      <c r="E35" s="22">
        <v>4</v>
      </c>
      <c r="F35" s="23" t="s">
        <v>283</v>
      </c>
      <c r="G35" s="22">
        <v>4</v>
      </c>
      <c r="H35" s="24" t="s">
        <v>66</v>
      </c>
    </row>
    <row r="36" spans="1:8" ht="16.5" customHeight="1" x14ac:dyDescent="0.3">
      <c r="A36" s="22">
        <v>5</v>
      </c>
      <c r="B36" s="23" t="s">
        <v>92</v>
      </c>
      <c r="C36" s="22">
        <v>5</v>
      </c>
      <c r="D36" s="24" t="s">
        <v>287</v>
      </c>
      <c r="E36" s="22">
        <v>5</v>
      </c>
      <c r="F36" s="23" t="s">
        <v>284</v>
      </c>
      <c r="G36" s="22">
        <v>5</v>
      </c>
      <c r="H36" s="23" t="s">
        <v>55</v>
      </c>
    </row>
    <row r="37" spans="1:8" ht="16.5" customHeight="1" x14ac:dyDescent="0.3">
      <c r="A37" s="22">
        <v>6</v>
      </c>
      <c r="B37" s="23" t="s">
        <v>93</v>
      </c>
      <c r="C37" s="22">
        <v>6</v>
      </c>
      <c r="D37" s="23" t="s">
        <v>288</v>
      </c>
      <c r="E37" s="22">
        <v>6</v>
      </c>
      <c r="F37" s="23" t="s">
        <v>91</v>
      </c>
      <c r="G37" s="22">
        <v>6</v>
      </c>
      <c r="H37" s="23" t="s">
        <v>96</v>
      </c>
    </row>
    <row r="38" spans="1:8" ht="16.5" customHeight="1" x14ac:dyDescent="0.3">
      <c r="A38" s="22">
        <v>7</v>
      </c>
      <c r="B38" s="24" t="s">
        <v>292</v>
      </c>
      <c r="C38" s="22">
        <v>7</v>
      </c>
      <c r="D38" s="23" t="s">
        <v>333</v>
      </c>
      <c r="E38" s="22">
        <v>7</v>
      </c>
      <c r="F38" s="23" t="s">
        <v>321</v>
      </c>
      <c r="G38" s="22">
        <v>7</v>
      </c>
      <c r="H38" s="23" t="s">
        <v>71</v>
      </c>
    </row>
    <row r="39" spans="1:8" ht="16.5" customHeight="1" x14ac:dyDescent="0.3">
      <c r="A39" s="22">
        <v>8</v>
      </c>
      <c r="B39" s="23" t="s">
        <v>295</v>
      </c>
      <c r="C39" s="22">
        <v>8</v>
      </c>
      <c r="D39" s="23" t="s">
        <v>99</v>
      </c>
      <c r="E39" s="22">
        <v>8</v>
      </c>
      <c r="F39" s="49" t="s">
        <v>336</v>
      </c>
      <c r="G39" s="22">
        <v>8</v>
      </c>
      <c r="H39" s="24" t="s">
        <v>290</v>
      </c>
    </row>
    <row r="40" spans="1:8" ht="16.5" customHeight="1" x14ac:dyDescent="0.3">
      <c r="A40" s="22">
        <v>9</v>
      </c>
      <c r="B40" s="24" t="s">
        <v>297</v>
      </c>
      <c r="C40" s="22">
        <v>9</v>
      </c>
      <c r="D40" s="23" t="s">
        <v>298</v>
      </c>
      <c r="E40" s="22">
        <v>9</v>
      </c>
      <c r="F40" s="23" t="s">
        <v>289</v>
      </c>
      <c r="G40" s="22">
        <v>9</v>
      </c>
      <c r="H40" s="23" t="s">
        <v>97</v>
      </c>
    </row>
    <row r="41" spans="1:8" ht="16.5" customHeight="1" x14ac:dyDescent="0.3">
      <c r="A41" s="22">
        <v>10</v>
      </c>
      <c r="B41" s="23" t="s">
        <v>94</v>
      </c>
      <c r="C41" s="22">
        <v>10</v>
      </c>
      <c r="D41" s="23" t="s">
        <v>100</v>
      </c>
      <c r="E41" s="22">
        <v>10</v>
      </c>
      <c r="F41" s="24" t="s">
        <v>59</v>
      </c>
      <c r="G41" s="22">
        <v>10</v>
      </c>
      <c r="H41" s="23" t="s">
        <v>294</v>
      </c>
    </row>
    <row r="42" spans="1:8" ht="16.5" customHeight="1" x14ac:dyDescent="0.3">
      <c r="A42" s="22">
        <v>11</v>
      </c>
      <c r="B42" s="23" t="s">
        <v>302</v>
      </c>
      <c r="C42" s="22">
        <v>11</v>
      </c>
      <c r="D42" s="23" t="s">
        <v>317</v>
      </c>
      <c r="E42" s="22">
        <v>11</v>
      </c>
      <c r="F42" s="23" t="s">
        <v>63</v>
      </c>
      <c r="G42" s="22">
        <v>11</v>
      </c>
      <c r="H42" s="23" t="s">
        <v>296</v>
      </c>
    </row>
    <row r="43" spans="1:8" ht="16.5" customHeight="1" x14ac:dyDescent="0.3">
      <c r="A43" s="22">
        <v>12</v>
      </c>
      <c r="B43" s="24" t="s">
        <v>304</v>
      </c>
      <c r="C43" s="22">
        <v>12</v>
      </c>
      <c r="D43" s="23" t="s">
        <v>318</v>
      </c>
      <c r="E43" s="22">
        <v>12</v>
      </c>
      <c r="F43" s="23" t="s">
        <v>310</v>
      </c>
      <c r="G43" s="22">
        <v>12</v>
      </c>
      <c r="H43" s="23" t="s">
        <v>101</v>
      </c>
    </row>
    <row r="44" spans="1:8" ht="16.5" customHeight="1" x14ac:dyDescent="0.3">
      <c r="A44" s="22"/>
      <c r="B44" s="23"/>
      <c r="C44" s="22">
        <v>13</v>
      </c>
      <c r="D44" s="23" t="s">
        <v>301</v>
      </c>
      <c r="E44" s="22">
        <v>13</v>
      </c>
      <c r="F44" s="23" t="s">
        <v>299</v>
      </c>
      <c r="G44" s="22">
        <v>13</v>
      </c>
      <c r="H44" s="24" t="s">
        <v>300</v>
      </c>
    </row>
    <row r="45" spans="1:8" ht="16.5" customHeight="1" x14ac:dyDescent="0.3">
      <c r="A45" s="22"/>
      <c r="B45" s="23"/>
      <c r="C45" s="22"/>
      <c r="D45" s="23"/>
      <c r="E45" s="22">
        <v>14</v>
      </c>
      <c r="F45" s="23" t="s">
        <v>342</v>
      </c>
      <c r="G45" s="22"/>
      <c r="H45" s="24"/>
    </row>
    <row r="46" spans="1:8" ht="16.5" customHeight="1" x14ac:dyDescent="0.3">
      <c r="A46" s="22"/>
      <c r="B46" s="24"/>
      <c r="C46" s="22"/>
      <c r="D46" s="23"/>
      <c r="E46" s="22">
        <v>15</v>
      </c>
      <c r="F46" s="23" t="s">
        <v>322</v>
      </c>
      <c r="G46" s="22"/>
      <c r="H46" s="24"/>
    </row>
    <row r="47" spans="1:8" ht="16.5" customHeight="1" x14ac:dyDescent="0.3">
      <c r="A47" s="22"/>
      <c r="B47" s="24"/>
      <c r="C47" s="22"/>
      <c r="D47" s="23"/>
      <c r="E47" s="22">
        <v>16</v>
      </c>
      <c r="F47" s="23" t="s">
        <v>323</v>
      </c>
      <c r="G47" s="22"/>
      <c r="H47" s="24"/>
    </row>
  </sheetData>
  <sortState xmlns:xlrd2="http://schemas.microsoft.com/office/spreadsheetml/2017/richdata2" ref="B6:B24">
    <sortCondition ref="B6:B24"/>
  </sortState>
  <mergeCells count="32">
    <mergeCell ref="A1:B1"/>
    <mergeCell ref="C1:D1"/>
    <mergeCell ref="E1:F1"/>
    <mergeCell ref="G1:H1"/>
    <mergeCell ref="A2:B2"/>
    <mergeCell ref="C2:D2"/>
    <mergeCell ref="E2:F2"/>
    <mergeCell ref="G2:H2"/>
    <mergeCell ref="A3:B3"/>
    <mergeCell ref="C3:D3"/>
    <mergeCell ref="E3:F3"/>
    <mergeCell ref="G3:H3"/>
    <mergeCell ref="A4:B5"/>
    <mergeCell ref="C4:D5"/>
    <mergeCell ref="E4:F5"/>
    <mergeCell ref="G4:H5"/>
    <mergeCell ref="A27:B27"/>
    <mergeCell ref="C27:D27"/>
    <mergeCell ref="E27:F27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0:B31"/>
    <mergeCell ref="C30:D31"/>
    <mergeCell ref="E30:F31"/>
    <mergeCell ref="G30:H31"/>
  </mergeCells>
  <pageMargins left="0.25" right="0.25" top="0.75" bottom="0.75" header="0.3" footer="0.3"/>
  <pageSetup paperSize="9"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C269-9665-4274-867C-2AB56E32D296}">
  <dimension ref="A1:J35"/>
  <sheetViews>
    <sheetView showGridLines="0" zoomScale="90" zoomScaleNormal="9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I26" sqref="I26"/>
    </sheetView>
  </sheetViews>
  <sheetFormatPr defaultRowHeight="14.5" x14ac:dyDescent="0.35"/>
  <cols>
    <col min="1" max="1" width="5.54296875" style="30" customWidth="1"/>
    <col min="2" max="7" width="17.90625" customWidth="1"/>
    <col min="8" max="8" width="18.08984375" bestFit="1" customWidth="1"/>
    <col min="10" max="10" width="24.54296875" customWidth="1"/>
  </cols>
  <sheetData>
    <row r="1" spans="1:10" ht="21" customHeight="1" x14ac:dyDescent="0.35">
      <c r="B1" s="145" t="s">
        <v>12</v>
      </c>
      <c r="C1" s="147" t="s">
        <v>146</v>
      </c>
      <c r="D1" s="149" t="s">
        <v>1</v>
      </c>
      <c r="E1" s="151" t="s">
        <v>2</v>
      </c>
      <c r="F1" s="141" t="s">
        <v>129</v>
      </c>
      <c r="G1" s="143" t="s">
        <v>130</v>
      </c>
    </row>
    <row r="2" spans="1:10" ht="21" customHeight="1" x14ac:dyDescent="0.35">
      <c r="B2" s="145"/>
      <c r="C2" s="147"/>
      <c r="D2" s="149"/>
      <c r="E2" s="151"/>
      <c r="F2" s="141"/>
      <c r="G2" s="143"/>
    </row>
    <row r="3" spans="1:10" ht="29" customHeight="1" x14ac:dyDescent="0.35">
      <c r="B3" s="146"/>
      <c r="C3" s="148"/>
      <c r="D3" s="150"/>
      <c r="E3" s="152"/>
      <c r="F3" s="142"/>
      <c r="G3" s="144"/>
    </row>
    <row r="4" spans="1:10" ht="22.25" customHeight="1" x14ac:dyDescent="0.35">
      <c r="A4" s="30">
        <v>1</v>
      </c>
      <c r="B4" s="12"/>
      <c r="C4" s="12"/>
      <c r="D4" s="12"/>
      <c r="E4" s="11"/>
      <c r="F4" s="11"/>
      <c r="G4" s="29" t="s">
        <v>230</v>
      </c>
      <c r="J4" s="3"/>
    </row>
    <row r="5" spans="1:10" s="3" customFormat="1" ht="23" customHeight="1" x14ac:dyDescent="0.35">
      <c r="A5" s="30">
        <v>2</v>
      </c>
      <c r="B5" s="29"/>
      <c r="C5" s="29"/>
      <c r="D5" s="29"/>
      <c r="E5" s="11"/>
      <c r="F5" s="11"/>
      <c r="G5" s="29" t="s">
        <v>192</v>
      </c>
      <c r="H5"/>
    </row>
    <row r="6" spans="1:10" s="3" customFormat="1" ht="22.25" customHeight="1" x14ac:dyDescent="0.35">
      <c r="A6" s="30">
        <v>3</v>
      </c>
      <c r="B6" s="12"/>
      <c r="C6" s="12"/>
      <c r="D6" s="12"/>
      <c r="E6" s="12"/>
      <c r="F6" s="12"/>
      <c r="G6" s="29" t="s">
        <v>200</v>
      </c>
      <c r="H6"/>
      <c r="J6"/>
    </row>
    <row r="7" spans="1:10" ht="22.25" customHeight="1" x14ac:dyDescent="0.35">
      <c r="A7" s="30">
        <v>4</v>
      </c>
      <c r="B7" s="29"/>
      <c r="C7" s="29"/>
      <c r="D7" s="29"/>
      <c r="E7" s="11"/>
      <c r="F7" s="11"/>
      <c r="G7" s="29" t="s">
        <v>193</v>
      </c>
      <c r="J7" s="3"/>
    </row>
    <row r="8" spans="1:10" ht="22.25" customHeight="1" x14ac:dyDescent="0.35">
      <c r="A8" s="30">
        <v>6</v>
      </c>
      <c r="B8" s="29"/>
      <c r="C8" s="29"/>
      <c r="D8" s="29"/>
      <c r="E8" s="11"/>
      <c r="F8" s="11"/>
      <c r="G8" s="29" t="s">
        <v>194</v>
      </c>
      <c r="J8" s="3"/>
    </row>
    <row r="9" spans="1:10" s="3" customFormat="1" ht="22.25" customHeight="1" x14ac:dyDescent="0.35">
      <c r="A9" s="30">
        <v>7</v>
      </c>
      <c r="B9" s="12"/>
      <c r="C9" s="12"/>
      <c r="D9" s="12"/>
      <c r="E9" s="12"/>
      <c r="F9" s="12"/>
      <c r="G9" s="29" t="s">
        <v>195</v>
      </c>
      <c r="H9"/>
      <c r="J9"/>
    </row>
    <row r="10" spans="1:10" ht="22.25" customHeight="1" x14ac:dyDescent="0.35">
      <c r="A10" s="30">
        <v>8</v>
      </c>
      <c r="B10" s="29"/>
      <c r="C10" s="29"/>
      <c r="D10" s="29"/>
      <c r="E10" s="11"/>
      <c r="F10" s="11"/>
      <c r="G10" s="29" t="s">
        <v>141</v>
      </c>
      <c r="J10" s="3"/>
    </row>
    <row r="11" spans="1:10" ht="22.25" customHeight="1" x14ac:dyDescent="0.35">
      <c r="A11" s="30">
        <v>9</v>
      </c>
      <c r="B11" s="29"/>
      <c r="C11" s="29"/>
      <c r="D11" s="29"/>
      <c r="E11" s="29"/>
      <c r="F11" s="29"/>
      <c r="G11" s="29" t="s">
        <v>202</v>
      </c>
    </row>
    <row r="12" spans="1:10" s="3" customFormat="1" ht="22.25" customHeight="1" x14ac:dyDescent="0.35">
      <c r="A12" s="30">
        <v>10</v>
      </c>
      <c r="B12" s="11"/>
      <c r="C12" s="12"/>
      <c r="D12" s="12"/>
      <c r="E12" s="12"/>
      <c r="F12" s="12"/>
      <c r="G12" s="29" t="s">
        <v>196</v>
      </c>
      <c r="H12"/>
      <c r="J12"/>
    </row>
    <row r="13" spans="1:10" ht="22.25" customHeight="1" x14ac:dyDescent="0.35">
      <c r="A13" s="30">
        <v>11</v>
      </c>
      <c r="B13" s="11"/>
      <c r="C13" s="12"/>
      <c r="D13" s="12"/>
      <c r="E13" s="11"/>
      <c r="F13" s="11"/>
      <c r="G13" s="29" t="s">
        <v>201</v>
      </c>
    </row>
    <row r="14" spans="1:10" s="3" customFormat="1" ht="22.25" customHeight="1" x14ac:dyDescent="0.35">
      <c r="A14" s="30">
        <v>12</v>
      </c>
      <c r="B14" s="12"/>
      <c r="C14" s="11"/>
      <c r="D14" s="11"/>
      <c r="E14" s="11"/>
      <c r="F14" s="11"/>
      <c r="G14" s="29" t="s">
        <v>191</v>
      </c>
      <c r="H14"/>
      <c r="J14"/>
    </row>
    <row r="15" spans="1:10" ht="21.65" customHeight="1" x14ac:dyDescent="0.35">
      <c r="A15" s="30">
        <v>13</v>
      </c>
      <c r="B15" s="11"/>
      <c r="C15" s="12"/>
      <c r="D15" s="12"/>
      <c r="E15" s="11"/>
      <c r="F15" s="11"/>
      <c r="G15" s="29" t="s">
        <v>134</v>
      </c>
    </row>
    <row r="16" spans="1:10" ht="20" customHeight="1" x14ac:dyDescent="0.35">
      <c r="A16" s="30">
        <v>14</v>
      </c>
      <c r="B16" s="11"/>
      <c r="C16" s="12"/>
      <c r="D16" s="12"/>
      <c r="E16" s="11"/>
      <c r="F16" s="11"/>
      <c r="G16" s="29" t="s">
        <v>197</v>
      </c>
    </row>
    <row r="17" spans="1:7" ht="22.25" customHeight="1" x14ac:dyDescent="0.35">
      <c r="A17" s="30">
        <v>15</v>
      </c>
      <c r="B17" s="12"/>
      <c r="C17" s="11"/>
      <c r="D17" s="11"/>
      <c r="E17" s="11"/>
      <c r="F17" s="11"/>
      <c r="G17" s="29" t="s">
        <v>198</v>
      </c>
    </row>
    <row r="18" spans="1:7" ht="20.399999999999999" customHeight="1" x14ac:dyDescent="0.35">
      <c r="A18" s="30">
        <v>16</v>
      </c>
      <c r="B18" s="12" t="s">
        <v>199</v>
      </c>
      <c r="C18" s="12"/>
      <c r="D18" s="12"/>
      <c r="E18" s="12" t="s">
        <v>199</v>
      </c>
      <c r="F18" s="12" t="s">
        <v>199</v>
      </c>
      <c r="G18" s="12" t="s">
        <v>199</v>
      </c>
    </row>
    <row r="19" spans="1:7" ht="20.399999999999999" customHeight="1" x14ac:dyDescent="0.35">
      <c r="B19" s="12" t="s">
        <v>231</v>
      </c>
      <c r="C19" s="12" t="s">
        <v>231</v>
      </c>
      <c r="D19" s="12" t="s">
        <v>231</v>
      </c>
      <c r="E19" s="12"/>
      <c r="F19" s="12"/>
      <c r="G19" s="12"/>
    </row>
    <row r="20" spans="1:7" ht="20.399999999999999" customHeight="1" x14ac:dyDescent="0.35">
      <c r="A20" s="30">
        <v>17</v>
      </c>
      <c r="B20" s="12" t="s">
        <v>9</v>
      </c>
      <c r="C20" s="12"/>
      <c r="D20" s="12"/>
      <c r="E20" s="12" t="s">
        <v>9</v>
      </c>
      <c r="F20" s="12" t="s">
        <v>9</v>
      </c>
      <c r="G20" s="12" t="s">
        <v>9</v>
      </c>
    </row>
    <row r="21" spans="1:7" ht="21.65" customHeight="1" x14ac:dyDescent="0.35">
      <c r="A21" s="30">
        <v>18</v>
      </c>
      <c r="B21" s="12" t="s">
        <v>145</v>
      </c>
      <c r="C21" s="12"/>
      <c r="D21" s="12"/>
      <c r="E21" s="12" t="s">
        <v>145</v>
      </c>
      <c r="F21" s="12" t="s">
        <v>145</v>
      </c>
      <c r="G21" s="12" t="s">
        <v>145</v>
      </c>
    </row>
    <row r="22" spans="1:7" ht="21" customHeight="1" x14ac:dyDescent="0.35">
      <c r="A22" s="30">
        <v>19</v>
      </c>
      <c r="B22" s="29" t="s">
        <v>203</v>
      </c>
      <c r="C22" s="29" t="s">
        <v>203</v>
      </c>
      <c r="D22" s="29" t="s">
        <v>203</v>
      </c>
      <c r="E22" s="11"/>
      <c r="F22" s="29" t="s">
        <v>203</v>
      </c>
      <c r="G22" s="29" t="s">
        <v>203</v>
      </c>
    </row>
    <row r="23" spans="1:7" ht="20" customHeight="1" x14ac:dyDescent="0.35">
      <c r="A23" s="30">
        <v>20</v>
      </c>
      <c r="B23" s="12" t="s">
        <v>204</v>
      </c>
      <c r="C23" s="12"/>
      <c r="D23" s="12"/>
      <c r="E23" s="12" t="s">
        <v>204</v>
      </c>
      <c r="F23" s="11"/>
      <c r="G23" s="12" t="s">
        <v>204</v>
      </c>
    </row>
    <row r="24" spans="1:7" ht="20.149999999999999" customHeight="1" x14ac:dyDescent="0.35">
      <c r="A24" s="30">
        <v>21</v>
      </c>
      <c r="B24" s="12" t="s">
        <v>206</v>
      </c>
      <c r="C24" s="12" t="s">
        <v>206</v>
      </c>
      <c r="D24" s="12" t="s">
        <v>206</v>
      </c>
      <c r="E24" s="12"/>
      <c r="F24" s="12"/>
      <c r="G24" s="12" t="s">
        <v>206</v>
      </c>
    </row>
    <row r="25" spans="1:7" ht="20.149999999999999" customHeight="1" x14ac:dyDescent="0.35">
      <c r="A25" s="30">
        <v>22</v>
      </c>
      <c r="B25" s="29" t="s">
        <v>207</v>
      </c>
      <c r="C25" s="29" t="s">
        <v>207</v>
      </c>
      <c r="D25" s="29" t="s">
        <v>207</v>
      </c>
      <c r="E25" s="11"/>
      <c r="F25" s="11"/>
      <c r="G25" s="29" t="s">
        <v>207</v>
      </c>
    </row>
    <row r="26" spans="1:7" ht="20.149999999999999" customHeight="1" x14ac:dyDescent="0.35">
      <c r="A26" s="30">
        <v>23</v>
      </c>
      <c r="B26" s="12" t="s">
        <v>209</v>
      </c>
      <c r="C26" s="11" t="s">
        <v>209</v>
      </c>
      <c r="D26" s="11" t="s">
        <v>209</v>
      </c>
      <c r="E26" s="11"/>
      <c r="F26" s="11"/>
      <c r="G26" s="12"/>
    </row>
    <row r="27" spans="1:7" ht="20.149999999999999" customHeight="1" x14ac:dyDescent="0.35">
      <c r="A27" s="30">
        <v>24</v>
      </c>
      <c r="B27" s="12" t="s">
        <v>20</v>
      </c>
      <c r="C27" s="11"/>
      <c r="D27" s="11"/>
      <c r="E27" s="11" t="s">
        <v>20</v>
      </c>
      <c r="F27" s="11" t="s">
        <v>20</v>
      </c>
      <c r="G27" s="12" t="s">
        <v>20</v>
      </c>
    </row>
    <row r="28" spans="1:7" ht="20.149999999999999" customHeight="1" x14ac:dyDescent="0.35">
      <c r="A28" s="30">
        <v>25</v>
      </c>
      <c r="B28" s="12" t="s">
        <v>205</v>
      </c>
      <c r="C28" s="12" t="s">
        <v>205</v>
      </c>
      <c r="D28" s="12" t="s">
        <v>205</v>
      </c>
      <c r="E28" s="11"/>
      <c r="F28" s="11"/>
      <c r="G28" s="12"/>
    </row>
    <row r="29" spans="1:7" ht="20.149999999999999" customHeight="1" x14ac:dyDescent="0.35">
      <c r="A29" s="30">
        <v>26</v>
      </c>
      <c r="B29" s="29" t="s">
        <v>208</v>
      </c>
      <c r="C29" s="29"/>
      <c r="D29" s="29"/>
      <c r="E29" s="29" t="s">
        <v>208</v>
      </c>
      <c r="F29" s="29" t="s">
        <v>208</v>
      </c>
      <c r="G29" s="29" t="s">
        <v>208</v>
      </c>
    </row>
    <row r="30" spans="1:7" ht="20.149999999999999" customHeight="1" x14ac:dyDescent="0.35">
      <c r="A30" s="30">
        <v>27</v>
      </c>
      <c r="B30" s="12" t="s">
        <v>210</v>
      </c>
      <c r="C30" s="12" t="s">
        <v>210</v>
      </c>
      <c r="D30" s="12" t="s">
        <v>210</v>
      </c>
      <c r="E30" s="11"/>
      <c r="F30" s="11"/>
      <c r="G30" s="12"/>
    </row>
    <row r="31" spans="1:7" ht="20.149999999999999" customHeight="1" x14ac:dyDescent="0.35">
      <c r="A31" s="30">
        <v>28</v>
      </c>
      <c r="B31" s="12" t="s">
        <v>5</v>
      </c>
      <c r="C31" s="11" t="s">
        <v>5</v>
      </c>
      <c r="D31" s="11" t="s">
        <v>5</v>
      </c>
      <c r="E31" s="11"/>
      <c r="F31" s="11"/>
      <c r="G31" s="12"/>
    </row>
    <row r="32" spans="1:7" ht="20.149999999999999" customHeight="1" x14ac:dyDescent="0.35">
      <c r="A32" s="30">
        <v>29</v>
      </c>
      <c r="B32" s="12" t="s">
        <v>211</v>
      </c>
      <c r="C32" s="12" t="s">
        <v>211</v>
      </c>
      <c r="D32" s="12" t="s">
        <v>211</v>
      </c>
      <c r="E32" s="11"/>
      <c r="F32" s="11"/>
      <c r="G32" s="12"/>
    </row>
    <row r="33" spans="1:7" ht="20.149999999999999" customHeight="1" x14ac:dyDescent="0.35">
      <c r="A33" s="30">
        <v>32</v>
      </c>
      <c r="B33" s="29"/>
      <c r="C33" s="29" t="s">
        <v>212</v>
      </c>
      <c r="D33" s="29" t="s">
        <v>212</v>
      </c>
      <c r="E33" s="11"/>
      <c r="F33" s="12"/>
      <c r="G33" s="12"/>
    </row>
    <row r="34" spans="1:7" ht="20.149999999999999" customHeight="1" x14ac:dyDescent="0.35">
      <c r="A34" s="30">
        <v>33</v>
      </c>
      <c r="B34" s="12"/>
      <c r="C34" s="29" t="s">
        <v>24</v>
      </c>
      <c r="D34" s="29" t="s">
        <v>24</v>
      </c>
      <c r="E34" s="29" t="s">
        <v>24</v>
      </c>
      <c r="F34" s="11"/>
      <c r="G34" s="12"/>
    </row>
    <row r="35" spans="1:7" ht="20.149999999999999" customHeight="1" x14ac:dyDescent="0.35">
      <c r="A35" s="30">
        <v>34</v>
      </c>
      <c r="B35" s="29"/>
      <c r="C35" s="12" t="s">
        <v>213</v>
      </c>
      <c r="D35" s="12"/>
      <c r="E35" s="11"/>
      <c r="F35" s="11"/>
      <c r="G35" s="12"/>
    </row>
  </sheetData>
  <sortState xmlns:xlrd2="http://schemas.microsoft.com/office/spreadsheetml/2017/richdata2" ref="G4:G16">
    <sortCondition ref="G16"/>
  </sortState>
  <mergeCells count="6">
    <mergeCell ref="F1:F3"/>
    <mergeCell ref="G1:G3"/>
    <mergeCell ref="B1:B3"/>
    <mergeCell ref="C1:C3"/>
    <mergeCell ref="D1:D3"/>
    <mergeCell ref="E1:E3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Designações ()</vt:lpstr>
      <vt:lpstr>Designações FDS ()</vt:lpstr>
      <vt:lpstr>Aprovados pelo corpo</vt:lpstr>
      <vt:lpstr>Designações RVM</vt:lpstr>
      <vt:lpstr>Designações Mecânicas</vt:lpstr>
      <vt:lpstr>Abertura Limpeza Campo</vt:lpstr>
      <vt:lpstr>Aprovados 2024</vt:lpstr>
      <vt:lpstr>Designações FDS</vt:lpstr>
      <vt:lpstr>Grupos</vt:lpstr>
      <vt:lpstr>Limpeza</vt:lpstr>
      <vt:lpstr>Saídas Campo</vt:lpstr>
      <vt:lpstr>Planilha1</vt:lpstr>
      <vt:lpstr>Grupos (2)</vt:lpstr>
      <vt:lpstr>APROVADOS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leonildo C. Junior</dc:creator>
  <cp:lastModifiedBy>Bruno Alberto Silva Dos Reis</cp:lastModifiedBy>
  <cp:lastPrinted>2024-12-10T16:09:27Z</cp:lastPrinted>
  <dcterms:created xsi:type="dcterms:W3CDTF">2023-03-01T18:27:26Z</dcterms:created>
  <dcterms:modified xsi:type="dcterms:W3CDTF">2025-12-17T14:38:02Z</dcterms:modified>
</cp:coreProperties>
</file>